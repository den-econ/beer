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an\Documents\0. Gawean\0. DEN\22. XR\"/>
    </mc:Choice>
  </mc:AlternateContent>
  <xr:revisionPtr revIDLastSave="0" documentId="13_ncr:1_{FD31B983-83AC-4937-8723-71DAAC377996}" xr6:coauthVersionLast="47" xr6:coauthVersionMax="47" xr10:uidLastSave="{00000000-0000-0000-0000-000000000000}"/>
  <bookViews>
    <workbookView xWindow="-90" yWindow="-90" windowWidth="19380" windowHeight="11460" xr2:uid="{136FD5EA-69F6-4D36-BF21-61416DD08A06}"/>
  </bookViews>
  <sheets>
    <sheet name="data_clean" sheetId="1" r:id="rId1"/>
    <sheet name="Sheet2" sheetId="2" r:id="rId2"/>
    <sheet name="Sheet3" sheetId="3" r:id="rId3"/>
    <sheet name="Sheet1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0" i="1" l="1"/>
  <c r="C200" i="1"/>
  <c r="D200" i="1"/>
  <c r="E200" i="1"/>
  <c r="F200" i="1"/>
  <c r="G200" i="1"/>
  <c r="B201" i="1"/>
  <c r="C201" i="1"/>
  <c r="D201" i="1"/>
  <c r="E201" i="1"/>
  <c r="F201" i="1"/>
  <c r="G201" i="1"/>
  <c r="B202" i="1"/>
  <c r="C202" i="1"/>
  <c r="D202" i="1"/>
  <c r="E202" i="1"/>
  <c r="F202" i="1"/>
  <c r="G202" i="1"/>
  <c r="I200" i="2"/>
  <c r="I201" i="2"/>
  <c r="I202" i="2"/>
  <c r="I203" i="2"/>
  <c r="H200" i="2"/>
  <c r="H201" i="2"/>
  <c r="H202" i="2"/>
  <c r="H203" i="2"/>
  <c r="G201" i="2"/>
  <c r="G202" i="2"/>
  <c r="G203" i="2"/>
  <c r="F201" i="2"/>
  <c r="F202" i="2"/>
  <c r="F203" i="2"/>
  <c r="O218" i="3"/>
  <c r="O219" i="3"/>
  <c r="K219" i="3"/>
  <c r="C219" i="3" s="1"/>
  <c r="D219" i="3"/>
  <c r="E219" i="3"/>
  <c r="F219" i="3"/>
  <c r="F218" i="3"/>
  <c r="E218" i="3"/>
  <c r="D218" i="3"/>
  <c r="C218" i="3"/>
  <c r="O215" i="3"/>
  <c r="O216" i="3"/>
  <c r="O217" i="3"/>
  <c r="N215" i="3"/>
  <c r="N216" i="3"/>
  <c r="N217" i="3"/>
  <c r="M215" i="3"/>
  <c r="M216" i="3"/>
  <c r="M217" i="3"/>
  <c r="L215" i="3"/>
  <c r="L216" i="3"/>
  <c r="L217" i="3"/>
  <c r="K215" i="3"/>
  <c r="K216" i="3"/>
  <c r="K217" i="3"/>
  <c r="E200" i="2"/>
  <c r="E201" i="2"/>
  <c r="E202" i="2"/>
  <c r="E203" i="2"/>
  <c r="L201" i="2"/>
  <c r="L202" i="2"/>
  <c r="L203" i="2"/>
  <c r="K203" i="2"/>
  <c r="B201" i="2" l="1"/>
  <c r="B202" i="2"/>
  <c r="B203" i="2"/>
  <c r="F200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3" i="2"/>
  <c r="G200" i="2" l="1"/>
  <c r="D199" i="1" s="1"/>
  <c r="B199" i="1"/>
  <c r="G199" i="1"/>
  <c r="C199" i="1"/>
  <c r="L200" i="2"/>
  <c r="F199" i="1" s="1"/>
  <c r="G198" i="2" l="1"/>
  <c r="F198" i="2"/>
  <c r="H198" i="2" s="1"/>
  <c r="G199" i="2"/>
  <c r="O203" i="3"/>
  <c r="O204" i="3"/>
  <c r="O205" i="3"/>
  <c r="O206" i="3"/>
  <c r="O207" i="3"/>
  <c r="O208" i="3"/>
  <c r="O209" i="3"/>
  <c r="O210" i="3"/>
  <c r="O211" i="3"/>
  <c r="O212" i="3"/>
  <c r="O213" i="3"/>
  <c r="O214" i="3"/>
  <c r="F199" i="2" l="1"/>
  <c r="H199" i="2" s="1"/>
  <c r="J203" i="3" l="1"/>
  <c r="K203" i="3"/>
  <c r="L203" i="3"/>
  <c r="M203" i="3"/>
  <c r="N203" i="3"/>
  <c r="J204" i="3"/>
  <c r="K204" i="3"/>
  <c r="L204" i="3"/>
  <c r="M204" i="3"/>
  <c r="N204" i="3"/>
  <c r="J205" i="3"/>
  <c r="K205" i="3"/>
  <c r="L205" i="3"/>
  <c r="M205" i="3"/>
  <c r="N205" i="3"/>
  <c r="J206" i="3"/>
  <c r="K206" i="3"/>
  <c r="L206" i="3"/>
  <c r="M206" i="3"/>
  <c r="N206" i="3"/>
  <c r="J207" i="3"/>
  <c r="K207" i="3"/>
  <c r="L207" i="3"/>
  <c r="M207" i="3"/>
  <c r="N207" i="3"/>
  <c r="J208" i="3"/>
  <c r="K208" i="3"/>
  <c r="L208" i="3"/>
  <c r="M208" i="3"/>
  <c r="N208" i="3"/>
  <c r="J209" i="3"/>
  <c r="K209" i="3"/>
  <c r="L209" i="3"/>
  <c r="M209" i="3"/>
  <c r="N209" i="3"/>
  <c r="J210" i="3"/>
  <c r="K210" i="3"/>
  <c r="L210" i="3"/>
  <c r="M210" i="3"/>
  <c r="N210" i="3"/>
  <c r="J211" i="3"/>
  <c r="K211" i="3"/>
  <c r="L211" i="3"/>
  <c r="M211" i="3"/>
  <c r="N211" i="3"/>
  <c r="J212" i="3"/>
  <c r="K212" i="3"/>
  <c r="L212" i="3"/>
  <c r="M212" i="3"/>
  <c r="N212" i="3"/>
  <c r="J213" i="3"/>
  <c r="K213" i="3"/>
  <c r="L213" i="3"/>
  <c r="M213" i="3"/>
  <c r="N213" i="3"/>
  <c r="K214" i="3"/>
  <c r="L214" i="3"/>
  <c r="M214" i="3"/>
  <c r="N214" i="3"/>
  <c r="J214" i="3"/>
  <c r="J1" i="3"/>
  <c r="L1" i="3"/>
  <c r="M1" i="3"/>
  <c r="N1" i="3"/>
  <c r="K1" i="3"/>
  <c r="N219" i="3" l="1"/>
  <c r="L219" i="3"/>
  <c r="M219" i="3"/>
  <c r="B198" i="1"/>
  <c r="F198" i="1"/>
  <c r="G198" i="1"/>
  <c r="B197" i="1"/>
  <c r="F197" i="1"/>
  <c r="G197" i="1"/>
  <c r="G3" i="4" l="1"/>
  <c r="F3" i="4"/>
  <c r="B3" i="4"/>
  <c r="G2" i="4"/>
  <c r="F2" i="4"/>
  <c r="B2" i="4"/>
  <c r="E199" i="2"/>
  <c r="C198" i="1" s="1"/>
  <c r="D197" i="1" l="1"/>
  <c r="D2" i="4"/>
  <c r="C3" i="4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2" i="1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3" i="2"/>
  <c r="F4" i="2"/>
  <c r="H4" i="2" s="1"/>
  <c r="D3" i="1" s="1"/>
  <c r="F5" i="2"/>
  <c r="H5" i="2" s="1"/>
  <c r="D4" i="1" s="1"/>
  <c r="F6" i="2"/>
  <c r="F7" i="2"/>
  <c r="F8" i="2"/>
  <c r="F9" i="2"/>
  <c r="F10" i="2"/>
  <c r="F11" i="2"/>
  <c r="F12" i="2"/>
  <c r="H12" i="2" s="1"/>
  <c r="D11" i="1" s="1"/>
  <c r="F13" i="2"/>
  <c r="F14" i="2"/>
  <c r="F15" i="2"/>
  <c r="F16" i="2"/>
  <c r="F17" i="2"/>
  <c r="F18" i="2"/>
  <c r="F19" i="2"/>
  <c r="F20" i="2"/>
  <c r="H20" i="2" s="1"/>
  <c r="D19" i="1" s="1"/>
  <c r="F21" i="2"/>
  <c r="F22" i="2"/>
  <c r="F23" i="2"/>
  <c r="F24" i="2"/>
  <c r="F25" i="2"/>
  <c r="F26" i="2"/>
  <c r="F27" i="2"/>
  <c r="F28" i="2"/>
  <c r="H28" i="2" s="1"/>
  <c r="D27" i="1" s="1"/>
  <c r="F29" i="2"/>
  <c r="F30" i="2"/>
  <c r="F31" i="2"/>
  <c r="F32" i="2"/>
  <c r="F33" i="2"/>
  <c r="F34" i="2"/>
  <c r="F35" i="2"/>
  <c r="F36" i="2"/>
  <c r="H36" i="2" s="1"/>
  <c r="D35" i="1" s="1"/>
  <c r="F37" i="2"/>
  <c r="F38" i="2"/>
  <c r="F39" i="2"/>
  <c r="F40" i="2"/>
  <c r="F41" i="2"/>
  <c r="F42" i="2"/>
  <c r="F43" i="2"/>
  <c r="F44" i="2"/>
  <c r="H44" i="2" s="1"/>
  <c r="D43" i="1" s="1"/>
  <c r="F45" i="2"/>
  <c r="F46" i="2"/>
  <c r="F47" i="2"/>
  <c r="F48" i="2"/>
  <c r="F49" i="2"/>
  <c r="F50" i="2"/>
  <c r="F51" i="2"/>
  <c r="F52" i="2"/>
  <c r="H52" i="2" s="1"/>
  <c r="D51" i="1" s="1"/>
  <c r="F53" i="2"/>
  <c r="F54" i="2"/>
  <c r="F55" i="2"/>
  <c r="F56" i="2"/>
  <c r="F57" i="2"/>
  <c r="F58" i="2"/>
  <c r="F59" i="2"/>
  <c r="F60" i="2"/>
  <c r="H60" i="2" s="1"/>
  <c r="D59" i="1" s="1"/>
  <c r="F61" i="2"/>
  <c r="F62" i="2"/>
  <c r="F63" i="2"/>
  <c r="F64" i="2"/>
  <c r="F65" i="2"/>
  <c r="F66" i="2"/>
  <c r="F67" i="2"/>
  <c r="F68" i="2"/>
  <c r="H68" i="2" s="1"/>
  <c r="D67" i="1" s="1"/>
  <c r="F69" i="2"/>
  <c r="F70" i="2"/>
  <c r="F71" i="2"/>
  <c r="F72" i="2"/>
  <c r="F73" i="2"/>
  <c r="F74" i="2"/>
  <c r="F75" i="2"/>
  <c r="F76" i="2"/>
  <c r="H76" i="2" s="1"/>
  <c r="D75" i="1" s="1"/>
  <c r="F77" i="2"/>
  <c r="F78" i="2"/>
  <c r="F79" i="2"/>
  <c r="F80" i="2"/>
  <c r="F81" i="2"/>
  <c r="F82" i="2"/>
  <c r="F83" i="2"/>
  <c r="F84" i="2"/>
  <c r="H84" i="2" s="1"/>
  <c r="D83" i="1" s="1"/>
  <c r="F85" i="2"/>
  <c r="F86" i="2"/>
  <c r="F87" i="2"/>
  <c r="F88" i="2"/>
  <c r="F89" i="2"/>
  <c r="F90" i="2"/>
  <c r="F91" i="2"/>
  <c r="F92" i="2"/>
  <c r="H92" i="2" s="1"/>
  <c r="D91" i="1" s="1"/>
  <c r="F93" i="2"/>
  <c r="F94" i="2"/>
  <c r="F95" i="2"/>
  <c r="F96" i="2"/>
  <c r="F97" i="2"/>
  <c r="F98" i="2"/>
  <c r="F99" i="2"/>
  <c r="F100" i="2"/>
  <c r="H100" i="2" s="1"/>
  <c r="D99" i="1" s="1"/>
  <c r="F101" i="2"/>
  <c r="F102" i="2"/>
  <c r="F103" i="2"/>
  <c r="F104" i="2"/>
  <c r="F105" i="2"/>
  <c r="F106" i="2"/>
  <c r="F107" i="2"/>
  <c r="F108" i="2"/>
  <c r="H108" i="2" s="1"/>
  <c r="D107" i="1" s="1"/>
  <c r="F109" i="2"/>
  <c r="F110" i="2"/>
  <c r="F111" i="2"/>
  <c r="F112" i="2"/>
  <c r="F113" i="2"/>
  <c r="F114" i="2"/>
  <c r="F115" i="2"/>
  <c r="F116" i="2"/>
  <c r="H116" i="2" s="1"/>
  <c r="D115" i="1" s="1"/>
  <c r="F117" i="2"/>
  <c r="F118" i="2"/>
  <c r="F119" i="2"/>
  <c r="F120" i="2"/>
  <c r="F121" i="2"/>
  <c r="F122" i="2"/>
  <c r="F123" i="2"/>
  <c r="F124" i="2"/>
  <c r="H124" i="2" s="1"/>
  <c r="D123" i="1" s="1"/>
  <c r="F125" i="2"/>
  <c r="F126" i="2"/>
  <c r="F127" i="2"/>
  <c r="F128" i="2"/>
  <c r="F129" i="2"/>
  <c r="F130" i="2"/>
  <c r="F131" i="2"/>
  <c r="F132" i="2"/>
  <c r="H132" i="2" s="1"/>
  <c r="D131" i="1" s="1"/>
  <c r="F133" i="2"/>
  <c r="F134" i="2"/>
  <c r="F135" i="2"/>
  <c r="F136" i="2"/>
  <c r="F137" i="2"/>
  <c r="F138" i="2"/>
  <c r="F139" i="2"/>
  <c r="F140" i="2"/>
  <c r="H140" i="2" s="1"/>
  <c r="D139" i="1" s="1"/>
  <c r="F141" i="2"/>
  <c r="F142" i="2"/>
  <c r="F143" i="2"/>
  <c r="F144" i="2"/>
  <c r="F145" i="2"/>
  <c r="F146" i="2"/>
  <c r="F147" i="2"/>
  <c r="F148" i="2"/>
  <c r="H148" i="2" s="1"/>
  <c r="D147" i="1" s="1"/>
  <c r="F149" i="2"/>
  <c r="F150" i="2"/>
  <c r="F151" i="2"/>
  <c r="F152" i="2"/>
  <c r="F153" i="2"/>
  <c r="F154" i="2"/>
  <c r="F155" i="2"/>
  <c r="F156" i="2"/>
  <c r="H156" i="2" s="1"/>
  <c r="D155" i="1" s="1"/>
  <c r="F157" i="2"/>
  <c r="F158" i="2"/>
  <c r="F159" i="2"/>
  <c r="F160" i="2"/>
  <c r="F161" i="2"/>
  <c r="F162" i="2"/>
  <c r="F163" i="2"/>
  <c r="F164" i="2"/>
  <c r="H164" i="2" s="1"/>
  <c r="D163" i="1" s="1"/>
  <c r="F165" i="2"/>
  <c r="F166" i="2"/>
  <c r="F167" i="2"/>
  <c r="F168" i="2"/>
  <c r="F169" i="2"/>
  <c r="F170" i="2"/>
  <c r="F171" i="2"/>
  <c r="F172" i="2"/>
  <c r="H172" i="2" s="1"/>
  <c r="D171" i="1" s="1"/>
  <c r="F173" i="2"/>
  <c r="F174" i="2"/>
  <c r="F175" i="2"/>
  <c r="F176" i="2"/>
  <c r="F177" i="2"/>
  <c r="F178" i="2"/>
  <c r="F179" i="2"/>
  <c r="F180" i="2"/>
  <c r="H180" i="2" s="1"/>
  <c r="D179" i="1" s="1"/>
  <c r="F181" i="2"/>
  <c r="F182" i="2"/>
  <c r="F183" i="2"/>
  <c r="F184" i="2"/>
  <c r="F185" i="2"/>
  <c r="F186" i="2"/>
  <c r="F187" i="2"/>
  <c r="F188" i="2"/>
  <c r="H188" i="2" s="1"/>
  <c r="D187" i="1" s="1"/>
  <c r="F189" i="2"/>
  <c r="F190" i="2"/>
  <c r="F191" i="2"/>
  <c r="F192" i="2"/>
  <c r="F193" i="2"/>
  <c r="F194" i="2"/>
  <c r="F195" i="2"/>
  <c r="F196" i="2"/>
  <c r="H196" i="2" s="1"/>
  <c r="D195" i="1" s="1"/>
  <c r="F197" i="2"/>
  <c r="F3" i="2"/>
  <c r="I4" i="2"/>
  <c r="E3" i="1" s="1"/>
  <c r="I5" i="2"/>
  <c r="E4" i="1" s="1"/>
  <c r="I6" i="2"/>
  <c r="E5" i="1" s="1"/>
  <c r="I7" i="2"/>
  <c r="E6" i="1" s="1"/>
  <c r="I8" i="2"/>
  <c r="E7" i="1" s="1"/>
  <c r="I9" i="2"/>
  <c r="E8" i="1" s="1"/>
  <c r="I10" i="2"/>
  <c r="E9" i="1" s="1"/>
  <c r="I11" i="2"/>
  <c r="E10" i="1" s="1"/>
  <c r="I12" i="2"/>
  <c r="E11" i="1" s="1"/>
  <c r="I13" i="2"/>
  <c r="E12" i="1" s="1"/>
  <c r="I14" i="2"/>
  <c r="E13" i="1" s="1"/>
  <c r="I15" i="2"/>
  <c r="E14" i="1" s="1"/>
  <c r="I16" i="2"/>
  <c r="E15" i="1" s="1"/>
  <c r="I17" i="2"/>
  <c r="E16" i="1" s="1"/>
  <c r="I18" i="2"/>
  <c r="E17" i="1" s="1"/>
  <c r="I19" i="2"/>
  <c r="E18" i="1" s="1"/>
  <c r="I20" i="2"/>
  <c r="E19" i="1" s="1"/>
  <c r="I21" i="2"/>
  <c r="E20" i="1" s="1"/>
  <c r="I22" i="2"/>
  <c r="E21" i="1" s="1"/>
  <c r="I23" i="2"/>
  <c r="E22" i="1" s="1"/>
  <c r="I24" i="2"/>
  <c r="E23" i="1" s="1"/>
  <c r="I25" i="2"/>
  <c r="E24" i="1" s="1"/>
  <c r="I26" i="2"/>
  <c r="E25" i="1" s="1"/>
  <c r="I27" i="2"/>
  <c r="E26" i="1" s="1"/>
  <c r="I28" i="2"/>
  <c r="E27" i="1" s="1"/>
  <c r="I29" i="2"/>
  <c r="E28" i="1" s="1"/>
  <c r="I30" i="2"/>
  <c r="E29" i="1" s="1"/>
  <c r="I31" i="2"/>
  <c r="E30" i="1" s="1"/>
  <c r="I32" i="2"/>
  <c r="E31" i="1" s="1"/>
  <c r="I33" i="2"/>
  <c r="E32" i="1" s="1"/>
  <c r="I34" i="2"/>
  <c r="E33" i="1" s="1"/>
  <c r="I35" i="2"/>
  <c r="E34" i="1" s="1"/>
  <c r="I36" i="2"/>
  <c r="E35" i="1" s="1"/>
  <c r="I37" i="2"/>
  <c r="E36" i="1" s="1"/>
  <c r="I38" i="2"/>
  <c r="E37" i="1" s="1"/>
  <c r="I39" i="2"/>
  <c r="E38" i="1" s="1"/>
  <c r="I40" i="2"/>
  <c r="E39" i="1" s="1"/>
  <c r="I41" i="2"/>
  <c r="E40" i="1" s="1"/>
  <c r="I42" i="2"/>
  <c r="E41" i="1" s="1"/>
  <c r="I43" i="2"/>
  <c r="E42" i="1" s="1"/>
  <c r="I44" i="2"/>
  <c r="E43" i="1" s="1"/>
  <c r="I45" i="2"/>
  <c r="E44" i="1" s="1"/>
  <c r="I46" i="2"/>
  <c r="E45" i="1" s="1"/>
  <c r="I47" i="2"/>
  <c r="E46" i="1" s="1"/>
  <c r="I48" i="2"/>
  <c r="E47" i="1" s="1"/>
  <c r="I49" i="2"/>
  <c r="E48" i="1" s="1"/>
  <c r="I50" i="2"/>
  <c r="E49" i="1" s="1"/>
  <c r="I51" i="2"/>
  <c r="E50" i="1" s="1"/>
  <c r="I52" i="2"/>
  <c r="E51" i="1" s="1"/>
  <c r="I53" i="2"/>
  <c r="E52" i="1" s="1"/>
  <c r="I54" i="2"/>
  <c r="E53" i="1" s="1"/>
  <c r="I55" i="2"/>
  <c r="E54" i="1" s="1"/>
  <c r="I56" i="2"/>
  <c r="E55" i="1" s="1"/>
  <c r="I57" i="2"/>
  <c r="E56" i="1" s="1"/>
  <c r="I58" i="2"/>
  <c r="E57" i="1" s="1"/>
  <c r="I59" i="2"/>
  <c r="E58" i="1" s="1"/>
  <c r="I60" i="2"/>
  <c r="E59" i="1" s="1"/>
  <c r="I61" i="2"/>
  <c r="E60" i="1" s="1"/>
  <c r="I62" i="2"/>
  <c r="E61" i="1" s="1"/>
  <c r="I63" i="2"/>
  <c r="E62" i="1" s="1"/>
  <c r="I64" i="2"/>
  <c r="E63" i="1" s="1"/>
  <c r="I65" i="2"/>
  <c r="E64" i="1" s="1"/>
  <c r="I66" i="2"/>
  <c r="E65" i="1" s="1"/>
  <c r="I67" i="2"/>
  <c r="E66" i="1" s="1"/>
  <c r="I68" i="2"/>
  <c r="E67" i="1" s="1"/>
  <c r="I69" i="2"/>
  <c r="E68" i="1" s="1"/>
  <c r="I70" i="2"/>
  <c r="E69" i="1" s="1"/>
  <c r="I71" i="2"/>
  <c r="E70" i="1" s="1"/>
  <c r="I72" i="2"/>
  <c r="E71" i="1" s="1"/>
  <c r="I73" i="2"/>
  <c r="E72" i="1" s="1"/>
  <c r="I74" i="2"/>
  <c r="E73" i="1" s="1"/>
  <c r="I75" i="2"/>
  <c r="E74" i="1" s="1"/>
  <c r="I76" i="2"/>
  <c r="E75" i="1" s="1"/>
  <c r="I77" i="2"/>
  <c r="E76" i="1" s="1"/>
  <c r="I78" i="2"/>
  <c r="E77" i="1" s="1"/>
  <c r="I79" i="2"/>
  <c r="E78" i="1" s="1"/>
  <c r="I80" i="2"/>
  <c r="E79" i="1" s="1"/>
  <c r="I81" i="2"/>
  <c r="E80" i="1" s="1"/>
  <c r="I82" i="2"/>
  <c r="E81" i="1" s="1"/>
  <c r="I83" i="2"/>
  <c r="E82" i="1" s="1"/>
  <c r="I84" i="2"/>
  <c r="E83" i="1" s="1"/>
  <c r="I85" i="2"/>
  <c r="E84" i="1" s="1"/>
  <c r="I86" i="2"/>
  <c r="E85" i="1" s="1"/>
  <c r="I87" i="2"/>
  <c r="E86" i="1" s="1"/>
  <c r="I88" i="2"/>
  <c r="E87" i="1" s="1"/>
  <c r="I89" i="2"/>
  <c r="E88" i="1" s="1"/>
  <c r="I90" i="2"/>
  <c r="E89" i="1" s="1"/>
  <c r="I91" i="2"/>
  <c r="E90" i="1" s="1"/>
  <c r="I92" i="2"/>
  <c r="E91" i="1" s="1"/>
  <c r="I93" i="2"/>
  <c r="E92" i="1" s="1"/>
  <c r="I94" i="2"/>
  <c r="E93" i="1" s="1"/>
  <c r="I95" i="2"/>
  <c r="E94" i="1" s="1"/>
  <c r="I96" i="2"/>
  <c r="E95" i="1" s="1"/>
  <c r="I97" i="2"/>
  <c r="E96" i="1" s="1"/>
  <c r="I98" i="2"/>
  <c r="E97" i="1" s="1"/>
  <c r="I99" i="2"/>
  <c r="E98" i="1" s="1"/>
  <c r="I100" i="2"/>
  <c r="E99" i="1" s="1"/>
  <c r="I101" i="2"/>
  <c r="E100" i="1" s="1"/>
  <c r="I102" i="2"/>
  <c r="E101" i="1" s="1"/>
  <c r="I103" i="2"/>
  <c r="E102" i="1" s="1"/>
  <c r="I104" i="2"/>
  <c r="E103" i="1" s="1"/>
  <c r="I105" i="2"/>
  <c r="E104" i="1" s="1"/>
  <c r="I106" i="2"/>
  <c r="E105" i="1" s="1"/>
  <c r="I107" i="2"/>
  <c r="E106" i="1" s="1"/>
  <c r="I108" i="2"/>
  <c r="E107" i="1" s="1"/>
  <c r="I109" i="2"/>
  <c r="E108" i="1" s="1"/>
  <c r="I110" i="2"/>
  <c r="E109" i="1" s="1"/>
  <c r="I111" i="2"/>
  <c r="E110" i="1" s="1"/>
  <c r="I112" i="2"/>
  <c r="E111" i="1" s="1"/>
  <c r="I113" i="2"/>
  <c r="E112" i="1" s="1"/>
  <c r="I114" i="2"/>
  <c r="E113" i="1" s="1"/>
  <c r="I115" i="2"/>
  <c r="E114" i="1" s="1"/>
  <c r="I116" i="2"/>
  <c r="E115" i="1" s="1"/>
  <c r="I117" i="2"/>
  <c r="E116" i="1" s="1"/>
  <c r="I118" i="2"/>
  <c r="E117" i="1" s="1"/>
  <c r="I119" i="2"/>
  <c r="E118" i="1" s="1"/>
  <c r="I120" i="2"/>
  <c r="E119" i="1" s="1"/>
  <c r="I121" i="2"/>
  <c r="E120" i="1" s="1"/>
  <c r="I122" i="2"/>
  <c r="E121" i="1" s="1"/>
  <c r="I123" i="2"/>
  <c r="E122" i="1" s="1"/>
  <c r="I124" i="2"/>
  <c r="E123" i="1" s="1"/>
  <c r="I125" i="2"/>
  <c r="E124" i="1" s="1"/>
  <c r="I126" i="2"/>
  <c r="E125" i="1" s="1"/>
  <c r="I127" i="2"/>
  <c r="E126" i="1" s="1"/>
  <c r="I128" i="2"/>
  <c r="E127" i="1" s="1"/>
  <c r="I129" i="2"/>
  <c r="E128" i="1" s="1"/>
  <c r="I130" i="2"/>
  <c r="E129" i="1" s="1"/>
  <c r="I131" i="2"/>
  <c r="E130" i="1" s="1"/>
  <c r="I132" i="2"/>
  <c r="E131" i="1" s="1"/>
  <c r="I133" i="2"/>
  <c r="E132" i="1" s="1"/>
  <c r="I134" i="2"/>
  <c r="E133" i="1" s="1"/>
  <c r="I135" i="2"/>
  <c r="E134" i="1" s="1"/>
  <c r="I136" i="2"/>
  <c r="E135" i="1" s="1"/>
  <c r="I137" i="2"/>
  <c r="E136" i="1" s="1"/>
  <c r="I138" i="2"/>
  <c r="E137" i="1" s="1"/>
  <c r="I139" i="2"/>
  <c r="E138" i="1" s="1"/>
  <c r="I140" i="2"/>
  <c r="E139" i="1" s="1"/>
  <c r="I141" i="2"/>
  <c r="E140" i="1" s="1"/>
  <c r="I142" i="2"/>
  <c r="E141" i="1" s="1"/>
  <c r="I143" i="2"/>
  <c r="E142" i="1" s="1"/>
  <c r="I144" i="2"/>
  <c r="E143" i="1" s="1"/>
  <c r="I145" i="2"/>
  <c r="E144" i="1" s="1"/>
  <c r="I146" i="2"/>
  <c r="E145" i="1" s="1"/>
  <c r="I147" i="2"/>
  <c r="E146" i="1" s="1"/>
  <c r="I148" i="2"/>
  <c r="E147" i="1" s="1"/>
  <c r="I149" i="2"/>
  <c r="E148" i="1" s="1"/>
  <c r="I150" i="2"/>
  <c r="E149" i="1" s="1"/>
  <c r="I151" i="2"/>
  <c r="E150" i="1" s="1"/>
  <c r="I152" i="2"/>
  <c r="E151" i="1" s="1"/>
  <c r="I153" i="2"/>
  <c r="E152" i="1" s="1"/>
  <c r="I154" i="2"/>
  <c r="E153" i="1" s="1"/>
  <c r="I155" i="2"/>
  <c r="E154" i="1" s="1"/>
  <c r="I156" i="2"/>
  <c r="E155" i="1" s="1"/>
  <c r="I157" i="2"/>
  <c r="E156" i="1" s="1"/>
  <c r="I158" i="2"/>
  <c r="E157" i="1" s="1"/>
  <c r="I159" i="2"/>
  <c r="E158" i="1" s="1"/>
  <c r="I160" i="2"/>
  <c r="E159" i="1" s="1"/>
  <c r="I161" i="2"/>
  <c r="E160" i="1" s="1"/>
  <c r="I162" i="2"/>
  <c r="E161" i="1" s="1"/>
  <c r="I163" i="2"/>
  <c r="E162" i="1" s="1"/>
  <c r="I164" i="2"/>
  <c r="E163" i="1" s="1"/>
  <c r="I165" i="2"/>
  <c r="E164" i="1" s="1"/>
  <c r="I166" i="2"/>
  <c r="E165" i="1" s="1"/>
  <c r="I167" i="2"/>
  <c r="E166" i="1" s="1"/>
  <c r="I168" i="2"/>
  <c r="E167" i="1" s="1"/>
  <c r="I169" i="2"/>
  <c r="E168" i="1" s="1"/>
  <c r="I170" i="2"/>
  <c r="E169" i="1" s="1"/>
  <c r="I171" i="2"/>
  <c r="E170" i="1" s="1"/>
  <c r="I172" i="2"/>
  <c r="E171" i="1" s="1"/>
  <c r="I173" i="2"/>
  <c r="E172" i="1" s="1"/>
  <c r="I174" i="2"/>
  <c r="E173" i="1" s="1"/>
  <c r="I175" i="2"/>
  <c r="E174" i="1" s="1"/>
  <c r="I176" i="2"/>
  <c r="E175" i="1" s="1"/>
  <c r="I177" i="2"/>
  <c r="E176" i="1" s="1"/>
  <c r="I178" i="2"/>
  <c r="E177" i="1" s="1"/>
  <c r="I179" i="2"/>
  <c r="E178" i="1" s="1"/>
  <c r="I180" i="2"/>
  <c r="E179" i="1" s="1"/>
  <c r="I181" i="2"/>
  <c r="E180" i="1" s="1"/>
  <c r="I182" i="2"/>
  <c r="E181" i="1" s="1"/>
  <c r="I183" i="2"/>
  <c r="E182" i="1" s="1"/>
  <c r="I184" i="2"/>
  <c r="E183" i="1" s="1"/>
  <c r="I185" i="2"/>
  <c r="E184" i="1" s="1"/>
  <c r="I186" i="2"/>
  <c r="E185" i="1" s="1"/>
  <c r="I187" i="2"/>
  <c r="E186" i="1" s="1"/>
  <c r="I188" i="2"/>
  <c r="E187" i="1" s="1"/>
  <c r="I189" i="2"/>
  <c r="E188" i="1" s="1"/>
  <c r="I190" i="2"/>
  <c r="E189" i="1" s="1"/>
  <c r="I191" i="2"/>
  <c r="E190" i="1" s="1"/>
  <c r="I192" i="2"/>
  <c r="E191" i="1" s="1"/>
  <c r="I193" i="2"/>
  <c r="E192" i="1" s="1"/>
  <c r="I194" i="2"/>
  <c r="E193" i="1" s="1"/>
  <c r="I195" i="2"/>
  <c r="E194" i="1" s="1"/>
  <c r="I196" i="2"/>
  <c r="E195" i="1" s="1"/>
  <c r="I197" i="2"/>
  <c r="E196" i="1" s="1"/>
  <c r="I198" i="2"/>
  <c r="I3" i="2"/>
  <c r="E2" i="1" s="1"/>
  <c r="H192" i="2" l="1"/>
  <c r="D191" i="1" s="1"/>
  <c r="H184" i="2"/>
  <c r="D183" i="1" s="1"/>
  <c r="H176" i="2"/>
  <c r="D175" i="1" s="1"/>
  <c r="H168" i="2"/>
  <c r="D167" i="1" s="1"/>
  <c r="H160" i="2"/>
  <c r="D159" i="1" s="1"/>
  <c r="H152" i="2"/>
  <c r="D151" i="1" s="1"/>
  <c r="H144" i="2"/>
  <c r="D143" i="1" s="1"/>
  <c r="H136" i="2"/>
  <c r="D135" i="1" s="1"/>
  <c r="H128" i="2"/>
  <c r="D127" i="1" s="1"/>
  <c r="H120" i="2"/>
  <c r="D119" i="1" s="1"/>
  <c r="H112" i="2"/>
  <c r="D111" i="1" s="1"/>
  <c r="H104" i="2"/>
  <c r="D103" i="1" s="1"/>
  <c r="H96" i="2"/>
  <c r="D95" i="1" s="1"/>
  <c r="H88" i="2"/>
  <c r="D87" i="1" s="1"/>
  <c r="H80" i="2"/>
  <c r="D79" i="1" s="1"/>
  <c r="H72" i="2"/>
  <c r="D71" i="1" s="1"/>
  <c r="H64" i="2"/>
  <c r="D63" i="1" s="1"/>
  <c r="H56" i="2"/>
  <c r="D55" i="1" s="1"/>
  <c r="H48" i="2"/>
  <c r="D47" i="1" s="1"/>
  <c r="H40" i="2"/>
  <c r="D39" i="1" s="1"/>
  <c r="H32" i="2"/>
  <c r="D31" i="1" s="1"/>
  <c r="H24" i="2"/>
  <c r="D23" i="1" s="1"/>
  <c r="H16" i="2"/>
  <c r="D15" i="1" s="1"/>
  <c r="H8" i="2"/>
  <c r="D7" i="1" s="1"/>
  <c r="H175" i="2"/>
  <c r="D174" i="1" s="1"/>
  <c r="H151" i="2"/>
  <c r="D150" i="1" s="1"/>
  <c r="H143" i="2"/>
  <c r="D142" i="1" s="1"/>
  <c r="H87" i="2"/>
  <c r="D86" i="1" s="1"/>
  <c r="H47" i="2"/>
  <c r="D46" i="1" s="1"/>
  <c r="H23" i="2"/>
  <c r="D22" i="1" s="1"/>
  <c r="H15" i="2"/>
  <c r="D14" i="1" s="1"/>
  <c r="H183" i="2"/>
  <c r="D182" i="1" s="1"/>
  <c r="H119" i="2"/>
  <c r="D118" i="1" s="1"/>
  <c r="H111" i="2"/>
  <c r="D110" i="1" s="1"/>
  <c r="H79" i="2"/>
  <c r="D78" i="1" s="1"/>
  <c r="H55" i="2"/>
  <c r="D54" i="1" s="1"/>
  <c r="H195" i="2"/>
  <c r="D194" i="1" s="1"/>
  <c r="H187" i="2"/>
  <c r="D186" i="1" s="1"/>
  <c r="H179" i="2"/>
  <c r="D178" i="1" s="1"/>
  <c r="H171" i="2"/>
  <c r="D170" i="1" s="1"/>
  <c r="H163" i="2"/>
  <c r="D162" i="1" s="1"/>
  <c r="H155" i="2"/>
  <c r="D154" i="1" s="1"/>
  <c r="H147" i="2"/>
  <c r="D146" i="1" s="1"/>
  <c r="H139" i="2"/>
  <c r="D138" i="1" s="1"/>
  <c r="H131" i="2"/>
  <c r="D130" i="1" s="1"/>
  <c r="H123" i="2"/>
  <c r="D122" i="1" s="1"/>
  <c r="H115" i="2"/>
  <c r="D114" i="1" s="1"/>
  <c r="H107" i="2"/>
  <c r="D106" i="1" s="1"/>
  <c r="H99" i="2"/>
  <c r="D98" i="1" s="1"/>
  <c r="H91" i="2"/>
  <c r="D90" i="1" s="1"/>
  <c r="H83" i="2"/>
  <c r="D82" i="1" s="1"/>
  <c r="H75" i="2"/>
  <c r="D74" i="1" s="1"/>
  <c r="H67" i="2"/>
  <c r="D66" i="1" s="1"/>
  <c r="H59" i="2"/>
  <c r="D58" i="1" s="1"/>
  <c r="H51" i="2"/>
  <c r="D50" i="1" s="1"/>
  <c r="H43" i="2"/>
  <c r="D42" i="1" s="1"/>
  <c r="H35" i="2"/>
  <c r="D34" i="1" s="1"/>
  <c r="H27" i="2"/>
  <c r="D26" i="1" s="1"/>
  <c r="H19" i="2"/>
  <c r="D18" i="1" s="1"/>
  <c r="H11" i="2"/>
  <c r="D10" i="1" s="1"/>
  <c r="H3" i="2"/>
  <c r="D2" i="1" s="1"/>
  <c r="H190" i="2"/>
  <c r="D189" i="1" s="1"/>
  <c r="H182" i="2"/>
  <c r="D181" i="1" s="1"/>
  <c r="H174" i="2"/>
  <c r="D173" i="1" s="1"/>
  <c r="H166" i="2"/>
  <c r="D165" i="1" s="1"/>
  <c r="H158" i="2"/>
  <c r="D157" i="1" s="1"/>
  <c r="H150" i="2"/>
  <c r="D149" i="1" s="1"/>
  <c r="H142" i="2"/>
  <c r="D141" i="1" s="1"/>
  <c r="H134" i="2"/>
  <c r="D133" i="1" s="1"/>
  <c r="H126" i="2"/>
  <c r="D125" i="1" s="1"/>
  <c r="H118" i="2"/>
  <c r="D117" i="1" s="1"/>
  <c r="H110" i="2"/>
  <c r="D109" i="1" s="1"/>
  <c r="H102" i="2"/>
  <c r="D101" i="1" s="1"/>
  <c r="H94" i="2"/>
  <c r="D93" i="1" s="1"/>
  <c r="H86" i="2"/>
  <c r="D85" i="1" s="1"/>
  <c r="H78" i="2"/>
  <c r="D77" i="1" s="1"/>
  <c r="H70" i="2"/>
  <c r="D69" i="1" s="1"/>
  <c r="H62" i="2"/>
  <c r="D61" i="1" s="1"/>
  <c r="H54" i="2"/>
  <c r="D53" i="1" s="1"/>
  <c r="H46" i="2"/>
  <c r="D45" i="1" s="1"/>
  <c r="H38" i="2"/>
  <c r="D37" i="1" s="1"/>
  <c r="H30" i="2"/>
  <c r="D29" i="1" s="1"/>
  <c r="H22" i="2"/>
  <c r="D21" i="1" s="1"/>
  <c r="H14" i="2"/>
  <c r="D13" i="1" s="1"/>
  <c r="H194" i="2"/>
  <c r="D193" i="1" s="1"/>
  <c r="H186" i="2"/>
  <c r="D185" i="1" s="1"/>
  <c r="H178" i="2"/>
  <c r="D177" i="1" s="1"/>
  <c r="H170" i="2"/>
  <c r="D169" i="1" s="1"/>
  <c r="H162" i="2"/>
  <c r="D161" i="1" s="1"/>
  <c r="H154" i="2"/>
  <c r="D153" i="1" s="1"/>
  <c r="H146" i="2"/>
  <c r="D145" i="1" s="1"/>
  <c r="H138" i="2"/>
  <c r="D137" i="1" s="1"/>
  <c r="H130" i="2"/>
  <c r="D129" i="1" s="1"/>
  <c r="H122" i="2"/>
  <c r="D121" i="1" s="1"/>
  <c r="H114" i="2"/>
  <c r="D113" i="1" s="1"/>
  <c r="H106" i="2"/>
  <c r="D105" i="1" s="1"/>
  <c r="H98" i="2"/>
  <c r="D97" i="1" s="1"/>
  <c r="H90" i="2"/>
  <c r="D89" i="1" s="1"/>
  <c r="H82" i="2"/>
  <c r="D81" i="1" s="1"/>
  <c r="H74" i="2"/>
  <c r="D73" i="1" s="1"/>
  <c r="H66" i="2"/>
  <c r="D65" i="1" s="1"/>
  <c r="H58" i="2"/>
  <c r="D57" i="1" s="1"/>
  <c r="H50" i="2"/>
  <c r="D49" i="1" s="1"/>
  <c r="H42" i="2"/>
  <c r="D41" i="1" s="1"/>
  <c r="H34" i="2"/>
  <c r="D33" i="1" s="1"/>
  <c r="H26" i="2"/>
  <c r="D25" i="1" s="1"/>
  <c r="H18" i="2"/>
  <c r="D17" i="1" s="1"/>
  <c r="H10" i="2"/>
  <c r="D9" i="1" s="1"/>
  <c r="H197" i="2"/>
  <c r="D196" i="1" s="1"/>
  <c r="H189" i="2"/>
  <c r="D188" i="1" s="1"/>
  <c r="H181" i="2"/>
  <c r="D180" i="1" s="1"/>
  <c r="H173" i="2"/>
  <c r="D172" i="1" s="1"/>
  <c r="H165" i="2"/>
  <c r="D164" i="1" s="1"/>
  <c r="H157" i="2"/>
  <c r="D156" i="1" s="1"/>
  <c r="H149" i="2"/>
  <c r="D148" i="1" s="1"/>
  <c r="H141" i="2"/>
  <c r="D140" i="1" s="1"/>
  <c r="H133" i="2"/>
  <c r="D132" i="1" s="1"/>
  <c r="E197" i="1"/>
  <c r="E2" i="4"/>
  <c r="H191" i="2"/>
  <c r="D190" i="1" s="1"/>
  <c r="H167" i="2"/>
  <c r="D166" i="1" s="1"/>
  <c r="H159" i="2"/>
  <c r="D158" i="1" s="1"/>
  <c r="H135" i="2"/>
  <c r="D134" i="1" s="1"/>
  <c r="H127" i="2"/>
  <c r="D126" i="1" s="1"/>
  <c r="H103" i="2"/>
  <c r="D102" i="1" s="1"/>
  <c r="H95" i="2"/>
  <c r="D94" i="1" s="1"/>
  <c r="H71" i="2"/>
  <c r="D70" i="1" s="1"/>
  <c r="H63" i="2"/>
  <c r="D62" i="1" s="1"/>
  <c r="H39" i="2"/>
  <c r="D38" i="1" s="1"/>
  <c r="H31" i="2"/>
  <c r="D30" i="1" s="1"/>
  <c r="H7" i="2"/>
  <c r="D6" i="1" s="1"/>
  <c r="H125" i="2"/>
  <c r="D124" i="1" s="1"/>
  <c r="H117" i="2"/>
  <c r="D116" i="1" s="1"/>
  <c r="H109" i="2"/>
  <c r="D108" i="1" s="1"/>
  <c r="H101" i="2"/>
  <c r="D100" i="1" s="1"/>
  <c r="H93" i="2"/>
  <c r="D92" i="1" s="1"/>
  <c r="H85" i="2"/>
  <c r="D84" i="1" s="1"/>
  <c r="H77" i="2"/>
  <c r="D76" i="1" s="1"/>
  <c r="H69" i="2"/>
  <c r="D68" i="1" s="1"/>
  <c r="H61" i="2"/>
  <c r="D60" i="1" s="1"/>
  <c r="H53" i="2"/>
  <c r="D52" i="1" s="1"/>
  <c r="H45" i="2"/>
  <c r="D44" i="1" s="1"/>
  <c r="H37" i="2"/>
  <c r="D36" i="1" s="1"/>
  <c r="H29" i="2"/>
  <c r="D28" i="1" s="1"/>
  <c r="H21" i="2"/>
  <c r="D20" i="1" s="1"/>
  <c r="H13" i="2"/>
  <c r="D12" i="1" s="1"/>
  <c r="H193" i="2"/>
  <c r="D192" i="1" s="1"/>
  <c r="H185" i="2"/>
  <c r="D184" i="1" s="1"/>
  <c r="H177" i="2"/>
  <c r="D176" i="1" s="1"/>
  <c r="H169" i="2"/>
  <c r="D168" i="1" s="1"/>
  <c r="H161" i="2"/>
  <c r="D160" i="1" s="1"/>
  <c r="H153" i="2"/>
  <c r="D152" i="1" s="1"/>
  <c r="H145" i="2"/>
  <c r="D144" i="1" s="1"/>
  <c r="H137" i="2"/>
  <c r="D136" i="1" s="1"/>
  <c r="H129" i="2"/>
  <c r="D128" i="1" s="1"/>
  <c r="H121" i="2"/>
  <c r="D120" i="1" s="1"/>
  <c r="H113" i="2"/>
  <c r="D112" i="1" s="1"/>
  <c r="H105" i="2"/>
  <c r="D104" i="1" s="1"/>
  <c r="H97" i="2"/>
  <c r="D96" i="1" s="1"/>
  <c r="H89" i="2"/>
  <c r="D88" i="1" s="1"/>
  <c r="H81" i="2"/>
  <c r="D80" i="1" s="1"/>
  <c r="H73" i="2"/>
  <c r="D72" i="1" s="1"/>
  <c r="H65" i="2"/>
  <c r="D64" i="1" s="1"/>
  <c r="H57" i="2"/>
  <c r="D56" i="1" s="1"/>
  <c r="H49" i="2"/>
  <c r="D48" i="1" s="1"/>
  <c r="H41" i="2"/>
  <c r="D40" i="1" s="1"/>
  <c r="H33" i="2"/>
  <c r="D32" i="1" s="1"/>
  <c r="H25" i="2"/>
  <c r="D24" i="1" s="1"/>
  <c r="H17" i="2"/>
  <c r="D16" i="1" s="1"/>
  <c r="H9" i="2"/>
  <c r="D8" i="1" s="1"/>
  <c r="H6" i="2"/>
  <c r="D5" i="1" s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3" i="2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3" i="2"/>
  <c r="E194" i="2"/>
  <c r="E195" i="2"/>
  <c r="E196" i="2"/>
  <c r="E197" i="2"/>
  <c r="E198" i="2"/>
  <c r="E3" i="2"/>
  <c r="D192" i="2"/>
  <c r="E192" i="2" s="1"/>
  <c r="C197" i="1" l="1"/>
  <c r="C2" i="4"/>
  <c r="D198" i="1"/>
  <c r="D3" i="4"/>
  <c r="E198" i="1" l="1"/>
  <c r="E199" i="1"/>
  <c r="I199" i="2"/>
  <c r="E3" i="4" s="1"/>
  <c r="J215" i="3"/>
  <c r="J216" i="3"/>
  <c r="J217" i="3"/>
  <c r="J218" i="3"/>
  <c r="J219" i="3" s="1"/>
  <c r="B219" i="3" s="1"/>
  <c r="B2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tc={4E777C20-B01C-46C1-B7E6-752D407CE2FF}</author>
    <author>tc={0B667D67-D354-423D-8013-6CAC4AE3F5B2}</author>
    <author>tc={C1984FB3-39AE-427D-8EF3-64A0FBB19F58}</author>
    <author>tc={A0063725-D041-46FA-8092-72645EA654D4}</author>
    <author>tc={E6F2F672-2090-4050-9A85-27C3181E2283}</author>
  </authors>
  <commentList>
    <comment ref="B1" authorId="0" shapeId="0" xr:uid="{4E777C20-B01C-46C1-B7E6-752D407CE2FF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Average, Bloomberg</t>
      </text>
    </comment>
    <comment ref="O1" authorId="1" shapeId="0" xr:uid="{0B667D67-D354-423D-8013-6CAC4AE3F5B2}">
      <text>
        <t>[Threaded comment]
Your version of Excel allows you to read this threaded comment; however, any edits to it will get removed if the file is opened in a newer version of Excel. Learn more: https://go.microsoft.com/fwlink/?linkid=870924
Comment:
    Kurs tengah EoP</t>
      </text>
    </comment>
    <comment ref="P1" authorId="2" shapeId="0" xr:uid="{C1984FB3-39AE-427D-8EF3-64A0FBB19F58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Average, Bloomberg</t>
      </text>
    </comment>
    <comment ref="C203" authorId="3" shapeId="0" xr:uid="{A0063725-D041-46FA-8092-72645EA654D4}">
      <text>
        <t>[Threaded comment]
Your version of Excel allows you to read this threaded comment; however, any edits to it will get removed if the file is opened in a newer version of Excel. Learn more: https://go.microsoft.com/fwlink/?linkid=870924
Comment:
    Trading Economics consensus</t>
      </text>
    </comment>
    <comment ref="D203" authorId="4" shapeId="0" xr:uid="{E6F2F672-2090-4050-9A85-27C3181E2283}">
      <text>
        <t>[Threaded comment]
Your version of Excel allows you to read this threaded comment; however, any edits to it will get removed if the file is opened in a newer version of Excel. Learn more: https://go.microsoft.com/fwlink/?linkid=870924
Comment:
    Trading Economics consensus</t>
      </text>
    </comment>
  </commentList>
</comments>
</file>

<file path=xl/sharedStrings.xml><?xml version="1.0" encoding="utf-8"?>
<sst xmlns="http://schemas.openxmlformats.org/spreadsheetml/2006/main" count="73" uniqueCount="44">
  <si>
    <t>infl_diff</t>
  </si>
  <si>
    <t>tot</t>
  </si>
  <si>
    <t>nfa</t>
  </si>
  <si>
    <t>ir_diff</t>
  </si>
  <si>
    <t>xr</t>
  </si>
  <si>
    <t>Core inflation</t>
  </si>
  <si>
    <t>Indonesia</t>
  </si>
  <si>
    <t>US</t>
  </si>
  <si>
    <t>Differential</t>
  </si>
  <si>
    <t>Export price</t>
  </si>
  <si>
    <t>Import price</t>
  </si>
  <si>
    <t>bi_rate</t>
  </si>
  <si>
    <t>ffr_rate</t>
  </si>
  <si>
    <t>date</t>
  </si>
  <si>
    <t>Select this link and click Refresh/Edit Download to update data and add or remove series</t>
  </si>
  <si>
    <t>BM (M2): Net Foreign Asset</t>
  </si>
  <si>
    <t>Exports: fob: Volume</t>
  </si>
  <si>
    <t>Export: fob</t>
  </si>
  <si>
    <t>Import: cif: Volume</t>
  </si>
  <si>
    <t>Import: cif</t>
  </si>
  <si>
    <t>Frequency</t>
  </si>
  <si>
    <t>Monthly</t>
  </si>
  <si>
    <t>Unit</t>
  </si>
  <si>
    <t>IDR bn</t>
  </si>
  <si>
    <t>kg mn</t>
  </si>
  <si>
    <t>USD mn</t>
  </si>
  <si>
    <t>Source</t>
  </si>
  <si>
    <t>Bank Indonesia</t>
  </si>
  <si>
    <t>Statistics Indonesia</t>
  </si>
  <si>
    <t>Series ID</t>
  </si>
  <si>
    <t>64074501 (DKCBGE)</t>
  </si>
  <si>
    <t>13957201 (DJHA)</t>
  </si>
  <si>
    <t>13920901 (DJAA)</t>
  </si>
  <si>
    <t>195490802 (DJHC)</t>
  </si>
  <si>
    <t>78865602 (DJAJAA)</t>
  </si>
  <si>
    <t>Last Obs. Date</t>
  </si>
  <si>
    <t>cds5y</t>
  </si>
  <si>
    <t>cds</t>
  </si>
  <si>
    <t>*Data DJBC</t>
  </si>
  <si>
    <t>*Updated Data BPS</t>
  </si>
  <si>
    <t>% YoY</t>
  </si>
  <si>
    <t>Trade Balance</t>
  </si>
  <si>
    <t>*Hasil linear forecast dari growth nya</t>
  </si>
  <si>
    <t>xr_eop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</si>
</sst>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/yyyy"/>
    <numFmt numFmtId="165" formatCode="_-* #,##0_-;\-* #,##0_-;_-* &quot;-&quot;??_-;_-@_-"/>
    <numFmt numFmtId="166" formatCode="_-* #,##0.00\ _€_-;\-* #,##0.00\ _€_-;_-* &quot;-&quot;??\ _€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43" fontId="0" fillId="0" borderId="0" xfId="1" applyFont="1"/>
    <xf numFmtId="43" fontId="0" fillId="2" borderId="0" xfId="1" applyFont="1" applyFill="1"/>
    <xf numFmtId="165" fontId="0" fillId="2" borderId="0" xfId="1" applyNumberFormat="1" applyFont="1" applyFill="1"/>
    <xf numFmtId="166" fontId="0" fillId="2" borderId="0" xfId="0" applyNumberFormat="1" applyFill="1"/>
    <xf numFmtId="14" fontId="0" fillId="0" borderId="0" xfId="0" applyNumberFormat="1"/>
    <xf numFmtId="0" fontId="2" fillId="0" borderId="0" xfId="0" applyFont="1" applyAlignment="1">
      <alignment vertical="center" wrapText="1"/>
    </xf>
    <xf numFmtId="43" fontId="0" fillId="0" borderId="0" xfId="0" applyNumberFormat="1"/>
    <xf numFmtId="43" fontId="3" fillId="0" borderId="0" xfId="1" applyFont="1"/>
    <xf numFmtId="0" fontId="3" fillId="0" borderId="0" xfId="0" applyFont="1"/>
    <xf numFmtId="43" fontId="3" fillId="2" borderId="0" xfId="1" applyFont="1" applyFill="1"/>
    <xf numFmtId="0" fontId="4" fillId="0" borderId="0" xfId="0" applyFont="1"/>
    <xf numFmtId="166" fontId="0" fillId="0" borderId="0" xfId="0" applyNumberFormat="1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43" fontId="1" fillId="0" borderId="0" xfId="1" applyFont="1"/>
    <xf numFmtId="43" fontId="6" fillId="0" borderId="0" xfId="1" applyFont="1"/>
    <xf numFmtId="165" fontId="0" fillId="0" borderId="0" xfId="1" applyNumberFormat="1" applyFont="1" applyFill="1"/>
    <xf numFmtId="43" fontId="7" fillId="0" borderId="0" xfId="1" applyFont="1"/>
    <xf numFmtId="0" fontId="0" fillId="0" borderId="0" xfId="0" applyAlignment="1">
      <alignment horizontal="center" vertical="center"/>
    </xf>
    <xf numFmtId="165" fontId="0" fillId="0" borderId="0" xfId="1" applyNumberFormat="1" applyFont="1"/>
    <xf numFmtId="0" fontId="7" fillId="0" borderId="0" xfId="0" applyFont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fan mansur" id="{AD562C04-D43F-4FA9-B7C7-504D0E54311F}" userId="11698b1e06b9972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6-28T06:11:48.72" personId="{AD562C04-D43F-4FA9-B7C7-504D0E54311F}" id="{4E777C20-B01C-46C1-B7E6-752D407CE2FF}">
    <text>Average, Bloomberg</text>
  </threadedComment>
  <threadedComment ref="O1" dT="2026-06-28T06:11:34.04" personId="{AD562C04-D43F-4FA9-B7C7-504D0E54311F}" id="{0B667D67-D354-423D-8013-6CAC4AE3F5B2}">
    <text>Kurs tengah EoP</text>
  </threadedComment>
  <threadedComment ref="P1" dT="2026-06-28T06:11:48.72" personId="{AD562C04-D43F-4FA9-B7C7-504D0E54311F}" id="{C1984FB3-39AE-427D-8EF3-64A0FBB19F58}">
    <text>Average, Bloomberg</text>
  </threadedComment>
  <threadedComment ref="C203" dT="2026-09-30T22:54:21.94" personId="{AD562C04-D43F-4FA9-B7C7-504D0E54311F}" id="{A0063725-D041-46FA-8092-72645EA654D4}">
    <text>Trading Economics consensus</text>
  </threadedComment>
  <threadedComment ref="D203" dT="2026-09-30T22:57:09.02" personId="{AD562C04-D43F-4FA9-B7C7-504D0E54311F}" id="{E6F2F672-2090-4050-9A85-27C3181E2283}">
    <text>Trading Economics consensus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C545-B073-440C-A52B-90CA060AB682}">
  <dimension ref="A1:G202"/>
  <sheetViews>
    <sheetView tabSelected="1" workbookViewId="0">
      <pane xSplit="1" ySplit="1" topLeftCell="B191" activePane="bottomRight" state="frozen"/>
      <selection pane="topRight" activeCell="B1" sqref="B1"/>
      <selection pane="bottomLeft" activeCell="A2" sqref="A2"/>
      <selection pane="bottomRight" activeCell="H202" sqref="H202"/>
    </sheetView>
  </sheetViews>
  <sheetFormatPr defaultRowHeight="14.75" x14ac:dyDescent="0.75"/>
  <sheetData>
    <row r="1" spans="1:7" x14ac:dyDescent="0.75">
      <c r="A1" s="2" t="s">
        <v>13</v>
      </c>
      <c r="B1" t="s">
        <v>4</v>
      </c>
      <c r="C1" t="s">
        <v>0</v>
      </c>
      <c r="D1" t="s">
        <v>1</v>
      </c>
      <c r="E1" t="s">
        <v>2</v>
      </c>
      <c r="F1" t="s">
        <v>3</v>
      </c>
      <c r="G1" t="s">
        <v>37</v>
      </c>
    </row>
    <row r="2" spans="1:7" x14ac:dyDescent="0.75">
      <c r="A2" s="4">
        <v>40179</v>
      </c>
      <c r="B2" s="5">
        <f>LN(Sheet2!B3)</f>
        <v>9.1447346148781889</v>
      </c>
      <c r="C2">
        <f>Sheet2!E3</f>
        <v>2.91650148</v>
      </c>
      <c r="D2" s="11">
        <f>Sheet2!H3</f>
        <v>0.30526426519076594</v>
      </c>
      <c r="E2" s="11">
        <f>Sheet2!I3</f>
        <v>13.479959496930521</v>
      </c>
      <c r="F2">
        <f>Sheet2!L3</f>
        <v>6.39</v>
      </c>
      <c r="G2" s="11">
        <f>LN(Sheet2!M3)</f>
        <v>5.2540648914774373</v>
      </c>
    </row>
    <row r="3" spans="1:7" x14ac:dyDescent="0.75">
      <c r="A3" s="4">
        <v>40210</v>
      </c>
      <c r="B3" s="5">
        <f>LN(Sheet2!B4)</f>
        <v>9.1415260559758238</v>
      </c>
      <c r="C3">
        <f>Sheet2!E4</f>
        <v>2.53109363</v>
      </c>
      <c r="D3" s="11">
        <f>Sheet2!H4</f>
        <v>0.38158875977193663</v>
      </c>
      <c r="E3" s="11">
        <f>Sheet2!I4</f>
        <v>13.481848531002461</v>
      </c>
      <c r="F3">
        <f>Sheet2!L4</f>
        <v>6.37</v>
      </c>
      <c r="G3" s="11">
        <f>LN(Sheet2!M4)</f>
        <v>5.3123723804634881</v>
      </c>
    </row>
    <row r="4" spans="1:7" x14ac:dyDescent="0.75">
      <c r="A4" s="4">
        <v>40238</v>
      </c>
      <c r="B4" s="5">
        <f>LN(Sheet2!B5)</f>
        <v>9.1176766871127626</v>
      </c>
      <c r="C4">
        <f>Sheet2!E5</f>
        <v>2.4007757600000001</v>
      </c>
      <c r="D4" s="11">
        <f>Sheet2!H5</f>
        <v>0.36406972926817327</v>
      </c>
      <c r="E4" s="11">
        <f>Sheet2!I5</f>
        <v>13.495570231159723</v>
      </c>
      <c r="F4">
        <f>Sheet2!L5</f>
        <v>6.34</v>
      </c>
      <c r="G4" s="11">
        <f>LN(Sheet2!M5)</f>
        <v>5.0942627394817173</v>
      </c>
    </row>
    <row r="5" spans="1:7" x14ac:dyDescent="0.75">
      <c r="A5" s="4">
        <v>40269</v>
      </c>
      <c r="B5" s="5">
        <f>LN(Sheet2!B6)</f>
        <v>9.1063123015521352</v>
      </c>
      <c r="C5">
        <f>Sheet2!E6</f>
        <v>2.72761955</v>
      </c>
      <c r="D5" s="11">
        <f>Sheet2!H6</f>
        <v>0.38944441257109996</v>
      </c>
      <c r="E5" s="11">
        <f>Sheet2!I6</f>
        <v>13.559525337066386</v>
      </c>
      <c r="F5">
        <f>Sheet2!L6</f>
        <v>6.3</v>
      </c>
      <c r="G5" s="11">
        <f>LN(Sheet2!M6)</f>
        <v>5.07418298361317</v>
      </c>
    </row>
    <row r="6" spans="1:7" x14ac:dyDescent="0.75">
      <c r="A6" s="4">
        <v>40299</v>
      </c>
      <c r="B6" s="5">
        <f>LN(Sheet2!B7)</f>
        <v>9.1247824836145366</v>
      </c>
      <c r="C6">
        <f>Sheet2!E7</f>
        <v>2.8745496699999999</v>
      </c>
      <c r="D6" s="11">
        <f>Sheet2!H7</f>
        <v>0.3733300887048675</v>
      </c>
      <c r="E6" s="11">
        <f>Sheet2!I7</f>
        <v>13.506323243189616</v>
      </c>
      <c r="F6">
        <f>Sheet2!L7</f>
        <v>6.3</v>
      </c>
      <c r="G6" s="11">
        <f>LN(Sheet2!M7)</f>
        <v>5.2282190373290005</v>
      </c>
    </row>
    <row r="7" spans="1:7" x14ac:dyDescent="0.75">
      <c r="A7" s="4">
        <v>40330</v>
      </c>
      <c r="B7" s="5">
        <f>LN(Sheet2!B8)</f>
        <v>9.1141598135022139</v>
      </c>
      <c r="C7">
        <f>Sheet2!E8</f>
        <v>3.0167861599999997</v>
      </c>
      <c r="D7" s="11">
        <f>Sheet2!H8</f>
        <v>0.36313937110203814</v>
      </c>
      <c r="E7" s="11">
        <f>Sheet2!I8</f>
        <v>13.53657401167195</v>
      </c>
      <c r="F7">
        <f>Sheet2!L8</f>
        <v>6.32</v>
      </c>
      <c r="G7" s="11">
        <f>LN(Sheet2!M8)</f>
        <v>5.2059034884098061</v>
      </c>
    </row>
    <row r="8" spans="1:7" x14ac:dyDescent="0.75">
      <c r="A8" s="4">
        <v>40360</v>
      </c>
      <c r="B8" s="5">
        <f>LN(Sheet2!B9)</f>
        <v>9.0996322499917603</v>
      </c>
      <c r="C8">
        <f>Sheet2!E9</f>
        <v>3.1915908799999997</v>
      </c>
      <c r="D8" s="11">
        <f>Sheet2!H9</f>
        <v>0.44123301312332064</v>
      </c>
      <c r="E8" s="11">
        <f>Sheet2!I9</f>
        <v>13.543568308694219</v>
      </c>
      <c r="F8">
        <f>Sheet2!L9</f>
        <v>6.32</v>
      </c>
      <c r="G8" s="11">
        <f>LN(Sheet2!M9)</f>
        <v>5.1161175296186459</v>
      </c>
    </row>
    <row r="9" spans="1:7" x14ac:dyDescent="0.75">
      <c r="A9" s="4">
        <v>40391</v>
      </c>
      <c r="B9" s="5">
        <f>LN(Sheet2!B10)</f>
        <v>9.1095250667373673</v>
      </c>
      <c r="C9">
        <f>Sheet2!E10</f>
        <v>3.3200388300000001</v>
      </c>
      <c r="D9" s="11">
        <f>Sheet2!H10</f>
        <v>0.43761084646029147</v>
      </c>
      <c r="E9" s="11">
        <f>Sheet2!I10</f>
        <v>13.589089880232297</v>
      </c>
      <c r="F9">
        <f>Sheet2!L10</f>
        <v>6.31</v>
      </c>
      <c r="G9" s="11">
        <f>LN(Sheet2!M10)</f>
        <v>5.0267797231856575</v>
      </c>
    </row>
    <row r="10" spans="1:7" x14ac:dyDescent="0.75">
      <c r="A10" s="4">
        <v>40422</v>
      </c>
      <c r="B10" s="5">
        <f>LN(Sheet2!B11)</f>
        <v>9.0964995555524233</v>
      </c>
      <c r="C10">
        <f>Sheet2!E11</f>
        <v>3.2055348399999999</v>
      </c>
      <c r="D10" s="11">
        <f>Sheet2!H11</f>
        <v>0.49080284852181943</v>
      </c>
      <c r="E10" s="11">
        <f>Sheet2!I11</f>
        <v>13.622509206643207</v>
      </c>
      <c r="F10">
        <f>Sheet2!L11</f>
        <v>6.31</v>
      </c>
      <c r="G10" s="11">
        <f>LN(Sheet2!M11)</f>
        <v>5.008259747445547</v>
      </c>
    </row>
    <row r="11" spans="1:7" x14ac:dyDescent="0.75">
      <c r="A11" s="4">
        <v>40452</v>
      </c>
      <c r="B11" s="5">
        <f>LN(Sheet2!B12)</f>
        <v>9.0969476846210924</v>
      </c>
      <c r="C11">
        <f>Sheet2!E12</f>
        <v>3.5835699000000001</v>
      </c>
      <c r="D11" s="11">
        <f>Sheet2!H12</f>
        <v>0.49472979546945567</v>
      </c>
      <c r="E11" s="11">
        <f>Sheet2!I12</f>
        <v>13.659331337038049</v>
      </c>
      <c r="F11">
        <f>Sheet2!L12</f>
        <v>6.31</v>
      </c>
      <c r="G11" s="11">
        <f>LN(Sheet2!M12)</f>
        <v>4.876868045995618</v>
      </c>
    </row>
    <row r="12" spans="1:7" x14ac:dyDescent="0.75">
      <c r="A12" s="4">
        <v>40483</v>
      </c>
      <c r="B12" s="5">
        <f>LN(Sheet2!B13)</f>
        <v>9.1064232585564096</v>
      </c>
      <c r="C12">
        <f>Sheet2!E13</f>
        <v>3.6371591199999997</v>
      </c>
      <c r="D12" s="11">
        <f>Sheet2!H13</f>
        <v>0.40386220622669095</v>
      </c>
      <c r="E12" s="11">
        <f>Sheet2!I13</f>
        <v>13.649567254337187</v>
      </c>
      <c r="F12">
        <f>Sheet2!L13</f>
        <v>6.31</v>
      </c>
      <c r="G12" s="11">
        <f>LN(Sheet2!M13)</f>
        <v>4.9240268111405356</v>
      </c>
    </row>
    <row r="13" spans="1:7" x14ac:dyDescent="0.75">
      <c r="A13" s="4">
        <v>40513</v>
      </c>
      <c r="B13" s="5">
        <f>LN(Sheet2!B14)</f>
        <v>9.103979355984773</v>
      </c>
      <c r="C13">
        <f>Sheet2!E14</f>
        <v>3.6214707899999996</v>
      </c>
      <c r="D13" s="11">
        <f>Sheet2!H14</f>
        <v>0.43550412003552708</v>
      </c>
      <c r="E13" s="11">
        <f>Sheet2!I14</f>
        <v>13.670625146005275</v>
      </c>
      <c r="F13">
        <f>Sheet2!L14</f>
        <v>6.32</v>
      </c>
      <c r="G13" s="11">
        <f>LN(Sheet2!M14)</f>
        <v>4.8766642189041933</v>
      </c>
    </row>
    <row r="14" spans="1:7" x14ac:dyDescent="0.75">
      <c r="A14" s="4">
        <v>40544</v>
      </c>
      <c r="B14" s="5">
        <f>LN(Sheet2!B15)</f>
        <v>9.1112932183749482</v>
      </c>
      <c r="C14">
        <f>Sheet2!E15</f>
        <v>3.1971440800000002</v>
      </c>
      <c r="D14" s="11">
        <f>Sheet2!H15</f>
        <v>0.43708471760858264</v>
      </c>
      <c r="E14" s="11">
        <f>Sheet2!I15</f>
        <v>13.661022261150814</v>
      </c>
      <c r="F14">
        <f>Sheet2!L15</f>
        <v>6.33</v>
      </c>
      <c r="G14" s="11">
        <f>LN(Sheet2!M15)</f>
        <v>4.953205919179922</v>
      </c>
    </row>
    <row r="15" spans="1:7" x14ac:dyDescent="0.75">
      <c r="A15" s="4">
        <v>40575</v>
      </c>
      <c r="B15" s="5">
        <f>LN(Sheet2!B16)</f>
        <v>9.0851172272221046</v>
      </c>
      <c r="C15">
        <f>Sheet2!E16</f>
        <v>3.2308607200000004</v>
      </c>
      <c r="D15" s="11">
        <f>Sheet2!H16</f>
        <v>0.45192118979935686</v>
      </c>
      <c r="E15" s="11">
        <f>Sheet2!I16</f>
        <v>13.693348234710427</v>
      </c>
      <c r="F15">
        <f>Sheet2!L16</f>
        <v>6.59</v>
      </c>
      <c r="G15" s="11">
        <f>LN(Sheet2!M16)</f>
        <v>5.0231684252611224</v>
      </c>
    </row>
    <row r="16" spans="1:7" x14ac:dyDescent="0.75">
      <c r="A16" s="4">
        <v>40603</v>
      </c>
      <c r="B16" s="5">
        <f>LN(Sheet2!B17)</f>
        <v>9.0721122526927402</v>
      </c>
      <c r="C16">
        <f>Sheet2!E17</f>
        <v>3.2419116199999998</v>
      </c>
      <c r="D16" s="11">
        <f>Sheet2!H17</f>
        <v>0.52969156552685392</v>
      </c>
      <c r="E16" s="11">
        <f>Sheet2!I17</f>
        <v>13.722725505341133</v>
      </c>
      <c r="F16">
        <f>Sheet2!L17</f>
        <v>6.61</v>
      </c>
      <c r="G16" s="11">
        <f>LN(Sheet2!M17)</f>
        <v>4.9768677664224645</v>
      </c>
    </row>
    <row r="17" spans="1:7" x14ac:dyDescent="0.75">
      <c r="A17" s="4">
        <v>40634</v>
      </c>
      <c r="B17" s="5">
        <f>LN(Sheet2!B18)</f>
        <v>9.0564896471579228</v>
      </c>
      <c r="C17">
        <f>Sheet2!E18</f>
        <v>3.30407188</v>
      </c>
      <c r="D17" s="11">
        <f>Sheet2!H18</f>
        <v>0.52278341544578122</v>
      </c>
      <c r="E17" s="11">
        <f>Sheet2!I18</f>
        <v>13.771832864815298</v>
      </c>
      <c r="F17">
        <f>Sheet2!L18</f>
        <v>6.65</v>
      </c>
      <c r="G17" s="11">
        <f>LN(Sheet2!M18)</f>
        <v>4.9391607744375658</v>
      </c>
    </row>
    <row r="18" spans="1:7" x14ac:dyDescent="0.75">
      <c r="A18" s="4">
        <v>40664</v>
      </c>
      <c r="B18" s="5">
        <f>LN(Sheet2!B19)</f>
        <v>9.052164937010307</v>
      </c>
      <c r="C18">
        <f>Sheet2!E19</f>
        <v>3.1882982900000001</v>
      </c>
      <c r="D18" s="11">
        <f>Sheet2!H19</f>
        <v>0.4709105959711225</v>
      </c>
      <c r="E18" s="11">
        <f>Sheet2!I19</f>
        <v>13.786384173216808</v>
      </c>
      <c r="F18">
        <f>Sheet2!L19</f>
        <v>6.66</v>
      </c>
      <c r="G18" s="11">
        <f>LN(Sheet2!M19)</f>
        <v>4.9017794513043524</v>
      </c>
    </row>
    <row r="19" spans="1:7" x14ac:dyDescent="0.75">
      <c r="A19" s="4">
        <v>40695</v>
      </c>
      <c r="B19" s="5">
        <f>LN(Sheet2!B20)</f>
        <v>9.0591685841744436</v>
      </c>
      <c r="C19">
        <f>Sheet2!E20</f>
        <v>3.0428671600000001</v>
      </c>
      <c r="D19" s="11">
        <f>Sheet2!H20</f>
        <v>0.4932446837087896</v>
      </c>
      <c r="E19" s="11">
        <f>Sheet2!I20</f>
        <v>13.785641969844038</v>
      </c>
      <c r="F19">
        <f>Sheet2!L20</f>
        <v>6.66</v>
      </c>
      <c r="G19" s="11">
        <f>LN(Sheet2!M20)</f>
        <v>4.9303188115760683</v>
      </c>
    </row>
    <row r="20" spans="1:7" x14ac:dyDescent="0.75">
      <c r="A20" s="4">
        <v>40725</v>
      </c>
      <c r="B20" s="5">
        <f>LN(Sheet2!B21)</f>
        <v>9.0487621763201282</v>
      </c>
      <c r="C20">
        <f>Sheet2!E21</f>
        <v>2.8116970299999995</v>
      </c>
      <c r="D20" s="11">
        <f>Sheet2!H21</f>
        <v>0.47540458256653623</v>
      </c>
      <c r="E20" s="11">
        <f>Sheet2!I21</f>
        <v>13.788114222106012</v>
      </c>
      <c r="F20">
        <f>Sheet2!L21</f>
        <v>6.68</v>
      </c>
      <c r="G20" s="11">
        <f>LN(Sheet2!M21)</f>
        <v>4.9235335234108497</v>
      </c>
    </row>
    <row r="21" spans="1:7" x14ac:dyDescent="0.75">
      <c r="A21" s="4">
        <v>40756</v>
      </c>
      <c r="B21" s="5">
        <f>LN(Sheet2!B22)</f>
        <v>9.0569560650768253</v>
      </c>
      <c r="C21">
        <f>Sheet2!E22</f>
        <v>3.1814638500000001</v>
      </c>
      <c r="D21" s="11">
        <f>Sheet2!H22</f>
        <v>0.52341981731612053</v>
      </c>
      <c r="E21" s="11">
        <f>Sheet2!I22</f>
        <v>13.792811195779775</v>
      </c>
      <c r="F21">
        <f>Sheet2!L22</f>
        <v>6.65</v>
      </c>
      <c r="G21" s="11">
        <f>LN(Sheet2!M22)</f>
        <v>5.0721314201005416</v>
      </c>
    </row>
    <row r="22" spans="1:7" x14ac:dyDescent="0.75">
      <c r="A22" s="4">
        <v>40787</v>
      </c>
      <c r="B22" s="5">
        <f>LN(Sheet2!B23)</f>
        <v>9.0851172272221046</v>
      </c>
      <c r="C22">
        <f>Sheet2!E23</f>
        <v>2.9438098700000004</v>
      </c>
      <c r="D22" s="11">
        <f>Sheet2!H23</f>
        <v>0.53310605734158856</v>
      </c>
      <c r="E22" s="11">
        <f>Sheet2!I23</f>
        <v>13.730934224756751</v>
      </c>
      <c r="F22">
        <f>Sheet2!L23</f>
        <v>6.67</v>
      </c>
      <c r="G22" s="11">
        <f>LN(Sheet2!M23)</f>
        <v>5.3572644323212097</v>
      </c>
    </row>
    <row r="23" spans="1:7" x14ac:dyDescent="0.75">
      <c r="A23" s="4">
        <v>40817</v>
      </c>
      <c r="B23" s="5">
        <f>LN(Sheet2!B24)</f>
        <v>9.0864763847537962</v>
      </c>
      <c r="C23">
        <f>Sheet2!E24</f>
        <v>2.3203405100000003</v>
      </c>
      <c r="D23" s="11">
        <f>Sheet2!H24</f>
        <v>0.4813626939561727</v>
      </c>
      <c r="E23" s="11">
        <f>Sheet2!I24</f>
        <v>13.724495617398494</v>
      </c>
      <c r="F23">
        <f>Sheet2!L24</f>
        <v>6.43</v>
      </c>
      <c r="G23" s="11">
        <f>LN(Sheet2!M24)</f>
        <v>5.5046718139114503</v>
      </c>
    </row>
    <row r="24" spans="1:7" x14ac:dyDescent="0.75">
      <c r="A24" s="4">
        <v>40848</v>
      </c>
      <c r="B24" s="5">
        <f>LN(Sheet2!B25)</f>
        <v>9.1236925652505114</v>
      </c>
      <c r="C24">
        <f>Sheet2!E25</f>
        <v>2.3017933200000003</v>
      </c>
      <c r="D24" s="11">
        <f>Sheet2!H25</f>
        <v>0.44367992941485668</v>
      </c>
      <c r="E24" s="11">
        <f>Sheet2!I25</f>
        <v>13.753282049358802</v>
      </c>
      <c r="F24">
        <f>Sheet2!L25</f>
        <v>5.92</v>
      </c>
      <c r="G24" s="11">
        <f>LN(Sheet2!M25)</f>
        <v>5.3854474864874433</v>
      </c>
    </row>
    <row r="25" spans="1:7" x14ac:dyDescent="0.75">
      <c r="A25" s="4">
        <v>40878</v>
      </c>
      <c r="B25" s="5">
        <f>LN(Sheet2!B26)</f>
        <v>9.1125070116274198</v>
      </c>
      <c r="C25">
        <f>Sheet2!E26</f>
        <v>2.0635744700000003</v>
      </c>
      <c r="D25" s="11">
        <f>Sheet2!H26</f>
        <v>0.45694541710809294</v>
      </c>
      <c r="E25" s="11">
        <f>Sheet2!I26</f>
        <v>13.723586226700091</v>
      </c>
      <c r="F25">
        <f>Sheet2!L26</f>
        <v>5.93</v>
      </c>
      <c r="G25" s="11">
        <f>LN(Sheet2!M26)</f>
        <v>5.34199556912891</v>
      </c>
    </row>
    <row r="26" spans="1:7" x14ac:dyDescent="0.75">
      <c r="A26" s="4">
        <v>40909</v>
      </c>
      <c r="B26" s="5">
        <f>LN(Sheet2!B27)</f>
        <v>9.1049798563183568</v>
      </c>
      <c r="C26">
        <f>Sheet2!E27</f>
        <v>2.0086006899999997</v>
      </c>
      <c r="D26" s="11">
        <f>Sheet2!H27</f>
        <v>0.50819728270399511</v>
      </c>
      <c r="E26" s="11">
        <f>Sheet2!I27</f>
        <v>13.747351581547306</v>
      </c>
      <c r="F26">
        <f>Sheet2!L27</f>
        <v>5.92</v>
      </c>
      <c r="G26" s="11">
        <f>LN(Sheet2!M27)</f>
        <v>5.3153452029286363</v>
      </c>
    </row>
    <row r="27" spans="1:7" x14ac:dyDescent="0.75">
      <c r="A27" s="4">
        <v>40940</v>
      </c>
      <c r="B27" s="5">
        <f>LN(Sheet2!B28)</f>
        <v>9.1143799808302717</v>
      </c>
      <c r="C27">
        <f>Sheet2!E28</f>
        <v>2.14568973</v>
      </c>
      <c r="D27" s="11">
        <f>Sheet2!H28</f>
        <v>0.45148473979618442</v>
      </c>
      <c r="E27" s="11">
        <f>Sheet2!I28</f>
        <v>13.755879973179285</v>
      </c>
      <c r="F27">
        <f>Sheet2!L28</f>
        <v>5.65</v>
      </c>
      <c r="G27" s="11">
        <f>LN(Sheet2!M28)</f>
        <v>5.0906703826931485</v>
      </c>
    </row>
    <row r="28" spans="1:7" x14ac:dyDescent="0.75">
      <c r="A28" s="4">
        <v>40969</v>
      </c>
      <c r="B28" s="5">
        <f>LN(Sheet2!B29)</f>
        <v>9.1247824836145366</v>
      </c>
      <c r="C28">
        <f>Sheet2!E29</f>
        <v>2.0054036200000001</v>
      </c>
      <c r="D28" s="11">
        <f>Sheet2!H29</f>
        <v>0.44251304076493408</v>
      </c>
      <c r="E28" s="11">
        <f>Sheet2!I29</f>
        <v>13.738759310819848</v>
      </c>
      <c r="F28">
        <f>Sheet2!L29</f>
        <v>5.62</v>
      </c>
      <c r="G28" s="11">
        <f>LN(Sheet2!M29)</f>
        <v>5.0775369299684172</v>
      </c>
    </row>
    <row r="29" spans="1:7" x14ac:dyDescent="0.75">
      <c r="A29" s="4">
        <v>41000</v>
      </c>
      <c r="B29" s="5">
        <f>LN(Sheet2!B30)</f>
        <v>9.1258712153497328</v>
      </c>
      <c r="C29">
        <f>Sheet2!E30</f>
        <v>1.9206323799999994</v>
      </c>
      <c r="D29" s="11">
        <f>Sheet2!H30</f>
        <v>0.4151525646541076</v>
      </c>
      <c r="E29" s="11">
        <f>Sheet2!I30</f>
        <v>13.778186687866187</v>
      </c>
      <c r="F29">
        <f>Sheet2!L30</f>
        <v>5.61</v>
      </c>
      <c r="G29" s="11">
        <f>LN(Sheet2!M30)</f>
        <v>5.136391538441778</v>
      </c>
    </row>
    <row r="30" spans="1:7" x14ac:dyDescent="0.75">
      <c r="A30" s="4">
        <v>41030</v>
      </c>
      <c r="B30" s="5">
        <f>LN(Sheet2!B31)</f>
        <v>9.1658658818743532</v>
      </c>
      <c r="C30">
        <f>Sheet2!E31</f>
        <v>1.8895096700000003</v>
      </c>
      <c r="D30" s="11">
        <f>Sheet2!H31</f>
        <v>0.48242793513352628</v>
      </c>
      <c r="E30" s="11">
        <f>Sheet2!I31</f>
        <v>13.786199587909795</v>
      </c>
      <c r="F30">
        <f>Sheet2!L31</f>
        <v>5.59</v>
      </c>
      <c r="G30" s="11">
        <f>LN(Sheet2!M31)</f>
        <v>5.3096771642472502</v>
      </c>
    </row>
    <row r="31" spans="1:7" x14ac:dyDescent="0.75">
      <c r="A31" s="4">
        <v>41061</v>
      </c>
      <c r="B31" s="5">
        <f>LN(Sheet2!B32)</f>
        <v>9.1569395952490673</v>
      </c>
      <c r="C31">
        <f>Sheet2!E32</f>
        <v>1.9604390499999997</v>
      </c>
      <c r="D31" s="11">
        <f>Sheet2!H32</f>
        <v>0.4949937939056393</v>
      </c>
      <c r="E31" s="11">
        <f>Sheet2!I32</f>
        <v>13.738163379086563</v>
      </c>
      <c r="F31">
        <f>Sheet2!L32</f>
        <v>5.59</v>
      </c>
      <c r="G31" s="11">
        <f>LN(Sheet2!M32)</f>
        <v>5.3522739801977552</v>
      </c>
    </row>
    <row r="32" spans="1:7" x14ac:dyDescent="0.75">
      <c r="A32" s="4">
        <v>41091</v>
      </c>
      <c r="B32" s="5">
        <f>LN(Sheet2!B33)</f>
        <v>9.1574668823691141</v>
      </c>
      <c r="C32">
        <f>Sheet2!E33</f>
        <v>2.1718079599999998</v>
      </c>
      <c r="D32" s="11">
        <f>Sheet2!H33</f>
        <v>0.54172090593051314</v>
      </c>
      <c r="E32" s="11">
        <f>Sheet2!I33</f>
        <v>13.749696738646223</v>
      </c>
      <c r="F32">
        <f>Sheet2!L33</f>
        <v>5.59</v>
      </c>
      <c r="G32" s="11">
        <f>LN(Sheet2!M33)</f>
        <v>5.2112900390179746</v>
      </c>
    </row>
    <row r="33" spans="1:7" x14ac:dyDescent="0.75">
      <c r="A33" s="4">
        <v>41122</v>
      </c>
      <c r="B33" s="5">
        <f>LN(Sheet2!B34)</f>
        <v>9.1653430060454468</v>
      </c>
      <c r="C33">
        <f>Sheet2!E34</f>
        <v>2.2280677899999999</v>
      </c>
      <c r="D33" s="11">
        <f>Sheet2!H34</f>
        <v>0.457549582250947</v>
      </c>
      <c r="E33" s="11">
        <f>Sheet2!I34</f>
        <v>13.770208386170724</v>
      </c>
      <c r="F33">
        <f>Sheet2!L34</f>
        <v>5.62</v>
      </c>
      <c r="G33" s="11">
        <f>LN(Sheet2!M34)</f>
        <v>5.1630373652527419</v>
      </c>
    </row>
    <row r="34" spans="1:7" x14ac:dyDescent="0.75">
      <c r="A34" s="4">
        <v>41153</v>
      </c>
      <c r="B34" s="5">
        <f>LN(Sheet2!B35)</f>
        <v>9.1682675955542745</v>
      </c>
      <c r="C34">
        <f>Sheet2!E35</f>
        <v>2.1070522299999999</v>
      </c>
      <c r="D34" s="11">
        <f>Sheet2!H35</f>
        <v>0.4986533032155766</v>
      </c>
      <c r="E34" s="11">
        <f>Sheet2!I35</f>
        <v>13.790841780339848</v>
      </c>
      <c r="F34">
        <f>Sheet2!L35</f>
        <v>5.61</v>
      </c>
      <c r="G34" s="11">
        <f>LN(Sheet2!M35)</f>
        <v>5.1246170399223336</v>
      </c>
    </row>
    <row r="35" spans="1:7" x14ac:dyDescent="0.75">
      <c r="A35" s="4">
        <v>41183</v>
      </c>
      <c r="B35" s="5">
        <f>LN(Sheet2!B36)</f>
        <v>9.1710796580228795</v>
      </c>
      <c r="C35">
        <f>Sheet2!E36</f>
        <v>2.5905203400000003</v>
      </c>
      <c r="D35" s="11">
        <f>Sheet2!H36</f>
        <v>0.40718218839744857</v>
      </c>
      <c r="E35" s="11">
        <f>Sheet2!I36</f>
        <v>13.805919853837663</v>
      </c>
      <c r="F35">
        <f>Sheet2!L36</f>
        <v>5.59</v>
      </c>
      <c r="G35" s="11">
        <f>LN(Sheet2!M36)</f>
        <v>5.1093215865949535</v>
      </c>
    </row>
    <row r="36" spans="1:7" x14ac:dyDescent="0.75">
      <c r="A36" s="4">
        <v>41214</v>
      </c>
      <c r="B36" s="5">
        <f>LN(Sheet2!B37)</f>
        <v>9.1700390752026575</v>
      </c>
      <c r="C36">
        <f>Sheet2!E37</f>
        <v>2.4502185600000006</v>
      </c>
      <c r="D36" s="11">
        <f>Sheet2!H37</f>
        <v>0.37227334110423516</v>
      </c>
      <c r="E36" s="11">
        <f>Sheet2!I37</f>
        <v>13.804589236852607</v>
      </c>
      <c r="F36">
        <f>Sheet2!L37</f>
        <v>5.59</v>
      </c>
      <c r="G36" s="11">
        <f>LN(Sheet2!M37)</f>
        <v>5.1093215865949535</v>
      </c>
    </row>
    <row r="37" spans="1:7" x14ac:dyDescent="0.75">
      <c r="A37" s="4">
        <v>41244</v>
      </c>
      <c r="B37" s="5">
        <f>LN(Sheet2!B38)</f>
        <v>9.1767835884473392</v>
      </c>
      <c r="C37">
        <f>Sheet2!E38</f>
        <v>2.4990668699999996</v>
      </c>
      <c r="D37" s="11">
        <f>Sheet2!H38</f>
        <v>0.35421143673801636</v>
      </c>
      <c r="E37" s="11">
        <f>Sheet2!I38</f>
        <v>13.780341275471136</v>
      </c>
      <c r="F37">
        <f>Sheet2!L38</f>
        <v>5.59</v>
      </c>
      <c r="G37" s="11">
        <f>LN(Sheet2!M38)</f>
        <v>4.8970573332782488</v>
      </c>
    </row>
    <row r="38" spans="1:7" x14ac:dyDescent="0.75">
      <c r="A38" s="4">
        <v>41275</v>
      </c>
      <c r="B38" s="5">
        <f>LN(Sheet2!B39)</f>
        <v>9.1796749576652967</v>
      </c>
      <c r="C38">
        <f>Sheet2!E39</f>
        <v>2.4062901300000004</v>
      </c>
      <c r="D38" s="11">
        <f>Sheet2!H39</f>
        <v>0.35788292866803884</v>
      </c>
      <c r="E38" s="11">
        <f>Sheet2!I39</f>
        <v>13.774931294399144</v>
      </c>
      <c r="F38">
        <f>Sheet2!L39</f>
        <v>5.61</v>
      </c>
      <c r="G38" s="11">
        <f>LN(Sheet2!M39)</f>
        <v>4.9023797706884062</v>
      </c>
    </row>
    <row r="39" spans="1:7" x14ac:dyDescent="0.75">
      <c r="A39" s="4">
        <v>41306</v>
      </c>
      <c r="B39" s="5">
        <f>LN(Sheet2!B40)</f>
        <v>9.1764733024646059</v>
      </c>
      <c r="C39">
        <f>Sheet2!E40</f>
        <v>2.2972002199999997</v>
      </c>
      <c r="D39" s="11">
        <f>Sheet2!H40</f>
        <v>0.39148753566819733</v>
      </c>
      <c r="E39" s="11">
        <f>Sheet2!I40</f>
        <v>13.751199850875112</v>
      </c>
      <c r="F39">
        <f>Sheet2!L40</f>
        <v>5.6</v>
      </c>
      <c r="G39" s="11">
        <f>LN(Sheet2!M40)</f>
        <v>4.9594490115265959</v>
      </c>
    </row>
    <row r="40" spans="1:7" x14ac:dyDescent="0.75">
      <c r="A40" s="4">
        <v>41334</v>
      </c>
      <c r="B40" s="5">
        <f>LN(Sheet2!B41)</f>
        <v>9.181838011503471</v>
      </c>
      <c r="C40">
        <f>Sheet2!E41</f>
        <v>2.3253277200000002</v>
      </c>
      <c r="D40" s="11">
        <f>Sheet2!H41</f>
        <v>0.33959854006513407</v>
      </c>
      <c r="E40" s="11">
        <f>Sheet2!I41</f>
        <v>13.761436284446908</v>
      </c>
      <c r="F40">
        <f>Sheet2!L41</f>
        <v>5.61</v>
      </c>
      <c r="G40" s="11">
        <f>LN(Sheet2!M41)</f>
        <v>4.936338586184343</v>
      </c>
    </row>
    <row r="41" spans="1:7" x14ac:dyDescent="0.75">
      <c r="A41" s="4">
        <v>41365</v>
      </c>
      <c r="B41" s="5">
        <f>LN(Sheet2!B42)</f>
        <v>9.1821466376054008</v>
      </c>
      <c r="C41">
        <f>Sheet2!E42</f>
        <v>2.4025502400000001</v>
      </c>
      <c r="D41" s="11">
        <f>Sheet2!H42</f>
        <v>0.33797363956851778</v>
      </c>
      <c r="E41" s="11">
        <f>Sheet2!I42</f>
        <v>13.753810840940035</v>
      </c>
      <c r="F41">
        <f>Sheet2!L42</f>
        <v>5.6</v>
      </c>
      <c r="G41" s="11">
        <f>LN(Sheet2!M42)</f>
        <v>4.9870201538543188</v>
      </c>
    </row>
    <row r="42" spans="1:7" x14ac:dyDescent="0.75">
      <c r="A42" s="4">
        <v>41395</v>
      </c>
      <c r="B42" s="5">
        <f>LN(Sheet2!B43)</f>
        <v>9.1903417254694926</v>
      </c>
      <c r="C42">
        <f>Sheet2!E43</f>
        <v>2.3472189999999999</v>
      </c>
      <c r="D42" s="11">
        <f>Sheet2!H43</f>
        <v>0.34693135467143926</v>
      </c>
      <c r="E42" s="11">
        <f>Sheet2!I43</f>
        <v>13.748932732191115</v>
      </c>
      <c r="F42">
        <f>Sheet2!L43</f>
        <v>5.64</v>
      </c>
      <c r="G42" s="11">
        <f>LN(Sheet2!M43)</f>
        <v>4.9265968847599355</v>
      </c>
    </row>
    <row r="43" spans="1:7" x14ac:dyDescent="0.75">
      <c r="A43" s="4">
        <v>41426</v>
      </c>
      <c r="B43" s="5">
        <f>LN(Sheet2!B44)</f>
        <v>9.2032150470335949</v>
      </c>
      <c r="C43">
        <f>Sheet2!E44</f>
        <v>2.35622007</v>
      </c>
      <c r="D43" s="11">
        <f>Sheet2!H44</f>
        <v>0.35753994699342118</v>
      </c>
      <c r="E43" s="11">
        <f>Sheet2!I44</f>
        <v>13.633773898084765</v>
      </c>
      <c r="F43">
        <f>Sheet2!L44</f>
        <v>5.91</v>
      </c>
      <c r="G43" s="11">
        <f>LN(Sheet2!M44)</f>
        <v>5.3553628851266657</v>
      </c>
    </row>
    <row r="44" spans="1:7" x14ac:dyDescent="0.75">
      <c r="A44" s="4">
        <v>41456</v>
      </c>
      <c r="B44" s="5">
        <f>LN(Sheet2!B45)</f>
        <v>9.237760967552175</v>
      </c>
      <c r="C44">
        <f>Sheet2!E45</f>
        <v>2.7407616900000003</v>
      </c>
      <c r="D44" s="11">
        <f>Sheet2!H45</f>
        <v>0.35416723107906473</v>
      </c>
      <c r="E44" s="11">
        <f>Sheet2!I45</f>
        <v>13.65263555331456</v>
      </c>
      <c r="F44">
        <f>Sheet2!L45</f>
        <v>6.41</v>
      </c>
      <c r="G44" s="11">
        <f>LN(Sheet2!M45)</f>
        <v>5.3392101759521635</v>
      </c>
    </row>
    <row r="45" spans="1:7" x14ac:dyDescent="0.75">
      <c r="A45" s="4">
        <v>41487</v>
      </c>
      <c r="B45" s="5">
        <f>LN(Sheet2!B46)</f>
        <v>9.2987174825935952</v>
      </c>
      <c r="C45">
        <f>Sheet2!E46</f>
        <v>2.7009146899999994</v>
      </c>
      <c r="D45" s="11">
        <f>Sheet2!H46</f>
        <v>0.32425554559439856</v>
      </c>
      <c r="E45" s="11">
        <f>Sheet2!I46</f>
        <v>13.687074470766866</v>
      </c>
      <c r="F45">
        <f>Sheet2!L46</f>
        <v>6.92</v>
      </c>
      <c r="G45" s="11">
        <f>LN(Sheet2!M46)</f>
        <v>5.4993393019711023</v>
      </c>
    </row>
    <row r="46" spans="1:7" x14ac:dyDescent="0.75">
      <c r="A46" s="4">
        <v>41518</v>
      </c>
      <c r="B46" s="5">
        <f>LN(Sheet2!B47)</f>
        <v>9.3598804392457584</v>
      </c>
      <c r="C46">
        <f>Sheet2!E47</f>
        <v>2.9696841200000001</v>
      </c>
      <c r="D46" s="11">
        <f>Sheet2!H47</f>
        <v>0.36156970780094105</v>
      </c>
      <c r="E46" s="11">
        <f>Sheet2!I47</f>
        <v>13.7872254801912</v>
      </c>
      <c r="F46">
        <f>Sheet2!L47</f>
        <v>7.17</v>
      </c>
      <c r="G46" s="11">
        <f>LN(Sheet2!M47)</f>
        <v>5.6409243186917308</v>
      </c>
    </row>
    <row r="47" spans="1:7" x14ac:dyDescent="0.75">
      <c r="A47" s="4">
        <v>41548</v>
      </c>
      <c r="B47" s="5">
        <f>LN(Sheet2!B48)</f>
        <v>9.3267001730923784</v>
      </c>
      <c r="C47">
        <f>Sheet2!E48</f>
        <v>3.0422164899999995</v>
      </c>
      <c r="D47" s="11">
        <f>Sheet2!H48</f>
        <v>0.35653789474675579</v>
      </c>
      <c r="E47" s="11">
        <f>Sheet2!I48</f>
        <v>13.770389083914035</v>
      </c>
      <c r="F47">
        <f>Sheet2!L48</f>
        <v>7.16</v>
      </c>
      <c r="G47" s="11">
        <f>LN(Sheet2!M48)</f>
        <v>5.5692896261922851</v>
      </c>
    </row>
    <row r="48" spans="1:7" x14ac:dyDescent="0.75">
      <c r="A48" s="4">
        <v>41579</v>
      </c>
      <c r="B48" s="5">
        <f>LN(Sheet2!B49)</f>
        <v>9.3907434229475069</v>
      </c>
      <c r="C48">
        <f>Sheet2!E49</f>
        <v>3.0574115199999996</v>
      </c>
      <c r="D48" s="11">
        <f>Sheet2!H49</f>
        <v>0.31857962123936417</v>
      </c>
      <c r="E48" s="11">
        <f>Sheet2!I49</f>
        <v>13.803193898362307</v>
      </c>
      <c r="F48">
        <f>Sheet2!L49</f>
        <v>7.42</v>
      </c>
      <c r="G48" s="11">
        <f>LN(Sheet2!M49)</f>
        <v>5.4099394518835391</v>
      </c>
    </row>
    <row r="49" spans="1:7" x14ac:dyDescent="0.75">
      <c r="A49" s="4">
        <v>41609</v>
      </c>
      <c r="B49" s="5">
        <f>LN(Sheet2!B50)</f>
        <v>9.4082891846558372</v>
      </c>
      <c r="C49">
        <f>Sheet2!E50</f>
        <v>3.24349234</v>
      </c>
      <c r="D49" s="11">
        <f>Sheet2!H50</f>
        <v>0.30713690426732726</v>
      </c>
      <c r="E49" s="11">
        <f>Sheet2!I50</f>
        <v>13.82680715051719</v>
      </c>
      <c r="F49">
        <f>Sheet2!L50</f>
        <v>7.41</v>
      </c>
      <c r="G49" s="11">
        <f>LN(Sheet2!M50)</f>
        <v>5.4135081563475618</v>
      </c>
    </row>
    <row r="50" spans="1:7" x14ac:dyDescent="0.75">
      <c r="A50" s="4">
        <v>41640</v>
      </c>
      <c r="B50" s="5">
        <f>LN(Sheet2!B51)</f>
        <v>9.4113201105886706</v>
      </c>
      <c r="C50">
        <f>Sheet2!E51</f>
        <v>2.9214938200000002</v>
      </c>
      <c r="D50" s="11">
        <f>Sheet2!H51</f>
        <v>0.37888993964100942</v>
      </c>
      <c r="E50" s="11">
        <f>Sheet2!I51</f>
        <v>13.85064307003058</v>
      </c>
      <c r="F50">
        <f>Sheet2!L51</f>
        <v>7.43</v>
      </c>
      <c r="G50" s="11">
        <f>LN(Sheet2!M51)</f>
        <v>5.4320496357346419</v>
      </c>
    </row>
    <row r="51" spans="1:7" x14ac:dyDescent="0.75">
      <c r="A51" s="4">
        <v>41671</v>
      </c>
      <c r="B51" s="5">
        <f>LN(Sheet2!B52)</f>
        <v>9.3616871244707074</v>
      </c>
      <c r="C51">
        <f>Sheet2!E52</f>
        <v>3.0177351899999998</v>
      </c>
      <c r="D51" s="11">
        <f>Sheet2!H52</f>
        <v>0.4370402891137502</v>
      </c>
      <c r="E51" s="11">
        <f>Sheet2!I52</f>
        <v>13.824691860517698</v>
      </c>
      <c r="F51">
        <f>Sheet2!L52</f>
        <v>7.43</v>
      </c>
      <c r="G51" s="11">
        <f>LN(Sheet2!M52)</f>
        <v>5.3464177690770702</v>
      </c>
    </row>
    <row r="52" spans="1:7" x14ac:dyDescent="0.75">
      <c r="A52" s="4">
        <v>41699</v>
      </c>
      <c r="B52" s="5">
        <f>LN(Sheet2!B53)</f>
        <v>9.3417194500325618</v>
      </c>
      <c r="C52">
        <f>Sheet2!E53</f>
        <v>2.9676239199999999</v>
      </c>
      <c r="D52" s="11">
        <f>Sheet2!H53</f>
        <v>0.39127790108463839</v>
      </c>
      <c r="E52" s="11">
        <f>Sheet2!I53</f>
        <v>13.798743167672283</v>
      </c>
      <c r="F52">
        <f>Sheet2!L53</f>
        <v>7.42</v>
      </c>
      <c r="G52" s="11">
        <f>LN(Sheet2!M53)</f>
        <v>5.203863558048349</v>
      </c>
    </row>
    <row r="53" spans="1:7" x14ac:dyDescent="0.75">
      <c r="A53" s="4">
        <v>41730</v>
      </c>
      <c r="B53" s="5">
        <f>LN(Sheet2!B54)</f>
        <v>9.3528810587582925</v>
      </c>
      <c r="C53">
        <f>Sheet2!E54</f>
        <v>2.8416480699999997</v>
      </c>
      <c r="D53" s="11">
        <f>Sheet2!H54</f>
        <v>0.39224716078872501</v>
      </c>
      <c r="E53" s="11">
        <f>Sheet2!I54</f>
        <v>13.825625786112225</v>
      </c>
      <c r="F53">
        <f>Sheet2!L54</f>
        <v>7.41</v>
      </c>
      <c r="G53" s="11">
        <f>LN(Sheet2!M54)</f>
        <v>5.1465199005883662</v>
      </c>
    </row>
    <row r="54" spans="1:7" x14ac:dyDescent="0.75">
      <c r="A54" s="4">
        <v>41760</v>
      </c>
      <c r="B54" s="5">
        <f>LN(Sheet2!B55)</f>
        <v>9.3597082036270063</v>
      </c>
      <c r="C54">
        <f>Sheet2!E55</f>
        <v>2.8789034200000003</v>
      </c>
      <c r="D54" s="11">
        <f>Sheet2!H55</f>
        <v>0.37857168329678909</v>
      </c>
      <c r="E54" s="11">
        <f>Sheet2!I55</f>
        <v>13.87082313818992</v>
      </c>
      <c r="F54">
        <f>Sheet2!L55</f>
        <v>7.41</v>
      </c>
      <c r="G54" s="11">
        <f>LN(Sheet2!M55)</f>
        <v>5.0453476079245521</v>
      </c>
    </row>
    <row r="55" spans="1:7" x14ac:dyDescent="0.75">
      <c r="A55" s="4">
        <v>41791</v>
      </c>
      <c r="B55" s="5">
        <f>LN(Sheet2!B56)</f>
        <v>9.3900752528733697</v>
      </c>
      <c r="C55">
        <f>Sheet2!E56</f>
        <v>2.8889366599999997</v>
      </c>
      <c r="D55" s="11">
        <f>Sheet2!H56</f>
        <v>0.41968446881258992</v>
      </c>
      <c r="E55" s="11">
        <f>Sheet2!I56</f>
        <v>13.885457455556899</v>
      </c>
      <c r="F55">
        <f>Sheet2!L56</f>
        <v>7.4</v>
      </c>
      <c r="G55" s="11">
        <f>LN(Sheet2!M56)</f>
        <v>4.9966599977356569</v>
      </c>
    </row>
    <row r="56" spans="1:7" x14ac:dyDescent="0.75">
      <c r="A56" s="4">
        <v>41821</v>
      </c>
      <c r="B56" s="5">
        <f>LN(Sheet2!B57)</f>
        <v>9.357984213888745</v>
      </c>
      <c r="C56">
        <f>Sheet2!E57</f>
        <v>2.7994801600000003</v>
      </c>
      <c r="D56" s="11">
        <f>Sheet2!H57</f>
        <v>0.39502750378818419</v>
      </c>
      <c r="E56" s="11">
        <f>Sheet2!I57</f>
        <v>13.865333417291888</v>
      </c>
      <c r="F56">
        <f>Sheet2!L57</f>
        <v>7.41</v>
      </c>
      <c r="G56" s="11">
        <f>LN(Sheet2!M57)</f>
        <v>5.0004449982219006</v>
      </c>
    </row>
    <row r="57" spans="1:7" x14ac:dyDescent="0.75">
      <c r="A57" s="4">
        <v>41852</v>
      </c>
      <c r="B57" s="5">
        <f>LN(Sheet2!B58)</f>
        <v>9.3687960576681562</v>
      </c>
      <c r="C57">
        <f>Sheet2!E58</f>
        <v>2.7354950499999999</v>
      </c>
      <c r="D57" s="11">
        <f>Sheet2!H58</f>
        <v>0.42193065915472105</v>
      </c>
      <c r="E57" s="11">
        <f>Sheet2!I58</f>
        <v>13.87688844894342</v>
      </c>
      <c r="F57">
        <f>Sheet2!L58</f>
        <v>7.41</v>
      </c>
      <c r="G57" s="11">
        <f>LN(Sheet2!M58)</f>
        <v>4.9959875859160636</v>
      </c>
    </row>
    <row r="58" spans="1:7" x14ac:dyDescent="0.75">
      <c r="A58" s="4">
        <v>41883</v>
      </c>
      <c r="B58" s="5">
        <f>LN(Sheet2!B59)</f>
        <v>9.4101743538547691</v>
      </c>
      <c r="C58">
        <f>Sheet2!E59</f>
        <v>2.3001263500000002</v>
      </c>
      <c r="D58" s="11">
        <f>Sheet2!H59</f>
        <v>0.39196143266950273</v>
      </c>
      <c r="E58" s="11">
        <f>Sheet2!I59</f>
        <v>13.923660966249949</v>
      </c>
      <c r="F58">
        <f>Sheet2!L59</f>
        <v>7.41</v>
      </c>
      <c r="G58" s="11">
        <f>LN(Sheet2!M59)</f>
        <v>4.9444767138966332</v>
      </c>
    </row>
    <row r="59" spans="1:7" x14ac:dyDescent="0.75">
      <c r="A59" s="4">
        <v>41913</v>
      </c>
      <c r="B59" s="5">
        <f>LN(Sheet2!B60)</f>
        <v>9.3994720206986866</v>
      </c>
      <c r="C59">
        <f>Sheet2!E60</f>
        <v>2.2020893799999994</v>
      </c>
      <c r="D59" s="11">
        <f>Sheet2!H60</f>
        <v>0.40679939700236301</v>
      </c>
      <c r="E59" s="11">
        <f>Sheet2!I60</f>
        <v>13.907418611640342</v>
      </c>
      <c r="F59">
        <f>Sheet2!L60</f>
        <v>7.41</v>
      </c>
      <c r="G59" s="11">
        <f>LN(Sheet2!M60)</f>
        <v>5.0882059185881712</v>
      </c>
    </row>
    <row r="60" spans="1:7" x14ac:dyDescent="0.75">
      <c r="A60" s="4">
        <v>41944</v>
      </c>
      <c r="B60" s="5">
        <f>LN(Sheet2!B61)</f>
        <v>9.4088633081081454</v>
      </c>
      <c r="C60">
        <f>Sheet2!E61</f>
        <v>2.4680401199999999</v>
      </c>
      <c r="D60" s="11">
        <f>Sheet2!H61</f>
        <v>0.3359565314667729</v>
      </c>
      <c r="E60" s="11">
        <f>Sheet2!I61</f>
        <v>13.912932288693188</v>
      </c>
      <c r="F60">
        <f>Sheet2!L61</f>
        <v>7.66</v>
      </c>
      <c r="G60" s="11">
        <f>LN(Sheet2!M61)</f>
        <v>4.9511205769410331</v>
      </c>
    </row>
    <row r="61" spans="1:7" x14ac:dyDescent="0.75">
      <c r="A61" s="4">
        <v>41974</v>
      </c>
      <c r="B61" s="5">
        <f>LN(Sheet2!B62)</f>
        <v>9.4286723662931706</v>
      </c>
      <c r="C61">
        <f>Sheet2!E62</f>
        <v>3.30921602</v>
      </c>
      <c r="D61" s="11">
        <f>Sheet2!H62</f>
        <v>0.31415903065807382</v>
      </c>
      <c r="E61" s="11">
        <f>Sheet2!I62</f>
        <v>13.916064121718776</v>
      </c>
      <c r="F61">
        <f>Sheet2!L62</f>
        <v>7.63</v>
      </c>
      <c r="G61" s="11">
        <f>LN(Sheet2!M62)</f>
        <v>5.0790762451872205</v>
      </c>
    </row>
    <row r="62" spans="1:7" x14ac:dyDescent="0.75">
      <c r="A62" s="4">
        <v>42005</v>
      </c>
      <c r="B62" s="5">
        <f>LN(Sheet2!B63)</f>
        <v>9.4434342541435612</v>
      </c>
      <c r="C62">
        <f>Sheet2!E63</f>
        <v>3.3571171899999999</v>
      </c>
      <c r="D62" s="11">
        <f>Sheet2!H63</f>
        <v>0.32056589706167016</v>
      </c>
      <c r="E62" s="11">
        <f>Sheet2!I63</f>
        <v>13.993022157103244</v>
      </c>
      <c r="F62">
        <f>Sheet2!L63</f>
        <v>7.64</v>
      </c>
      <c r="G62" s="11">
        <f>LN(Sheet2!M63)</f>
        <v>5.0979410721900722</v>
      </c>
    </row>
    <row r="63" spans="1:7" x14ac:dyDescent="0.75">
      <c r="A63" s="4">
        <v>42036</v>
      </c>
      <c r="B63" s="5">
        <f>LN(Sheet2!B64)</f>
        <v>9.4621102520787161</v>
      </c>
      <c r="C63">
        <f>Sheet2!E64</f>
        <v>3.2731458199999999</v>
      </c>
      <c r="D63" s="11">
        <f>Sheet2!H64</f>
        <v>0.29033356177934772</v>
      </c>
      <c r="E63" s="11">
        <f>Sheet2!I64</f>
        <v>14.004186797590785</v>
      </c>
      <c r="F63">
        <f>Sheet2!L64</f>
        <v>7.39</v>
      </c>
      <c r="G63" s="11">
        <f>LN(Sheet2!M64)</f>
        <v>5.0110648684826327</v>
      </c>
    </row>
    <row r="64" spans="1:7" x14ac:dyDescent="0.75">
      <c r="A64" s="4">
        <v>42064</v>
      </c>
      <c r="B64" s="5">
        <f>LN(Sheet2!B65)</f>
        <v>9.4791453886582744</v>
      </c>
      <c r="C64">
        <f>Sheet2!E65</f>
        <v>3.2984387599999998</v>
      </c>
      <c r="D64" s="11">
        <f>Sheet2!H65</f>
        <v>0.27824828099630528</v>
      </c>
      <c r="E64" s="11">
        <f>Sheet2!I65</f>
        <v>13.988775342396069</v>
      </c>
      <c r="F64">
        <f>Sheet2!L65</f>
        <v>7.39</v>
      </c>
      <c r="G64" s="11">
        <f>LN(Sheet2!M65)</f>
        <v>5.0239962438151871</v>
      </c>
    </row>
    <row r="65" spans="1:7" x14ac:dyDescent="0.75">
      <c r="A65" s="4">
        <v>42095</v>
      </c>
      <c r="B65" s="5">
        <f>LN(Sheet2!B66)</f>
        <v>9.4678467019179013</v>
      </c>
      <c r="C65">
        <f>Sheet2!E66</f>
        <v>3.2380926199999998</v>
      </c>
      <c r="D65" s="11">
        <f>Sheet2!H66</f>
        <v>0.28404125708996958</v>
      </c>
      <c r="E65" s="11">
        <f>Sheet2!I66</f>
        <v>13.964600028595667</v>
      </c>
      <c r="F65">
        <f>Sheet2!L66</f>
        <v>7.38</v>
      </c>
      <c r="G65" s="11">
        <f>LN(Sheet2!M66)</f>
        <v>5.0603897839190015</v>
      </c>
    </row>
    <row r="66" spans="1:7" x14ac:dyDescent="0.75">
      <c r="A66" s="4">
        <v>42125</v>
      </c>
      <c r="B66" s="5">
        <f>LN(Sheet2!B67)</f>
        <v>9.4888050948783533</v>
      </c>
      <c r="C66">
        <f>Sheet2!E67</f>
        <v>3.2875679299999998</v>
      </c>
      <c r="D66" s="11">
        <f>Sheet2!H67</f>
        <v>0.31132548485703504</v>
      </c>
      <c r="E66" s="11">
        <f>Sheet2!I67</f>
        <v>13.988622822434841</v>
      </c>
      <c r="F66">
        <f>Sheet2!L67</f>
        <v>7.38</v>
      </c>
      <c r="G66" s="11">
        <f>LN(Sheet2!M67)</f>
        <v>5.1028028787794701</v>
      </c>
    </row>
    <row r="67" spans="1:7" x14ac:dyDescent="0.75">
      <c r="A67" s="4">
        <v>42156</v>
      </c>
      <c r="B67" s="5">
        <f>LN(Sheet2!B68)</f>
        <v>9.4979224394276311</v>
      </c>
      <c r="C67">
        <f>Sheet2!E68</f>
        <v>3.2671579900000003</v>
      </c>
      <c r="D67" s="11">
        <f>Sheet2!H68</f>
        <v>0.33539903384709752</v>
      </c>
      <c r="E67" s="11">
        <f>Sheet2!I68</f>
        <v>13.989698677853172</v>
      </c>
      <c r="F67">
        <f>Sheet2!L68</f>
        <v>7.37</v>
      </c>
      <c r="G67" s="11">
        <f>LN(Sheet2!M68)</f>
        <v>5.1504607390664123</v>
      </c>
    </row>
    <row r="68" spans="1:7" x14ac:dyDescent="0.75">
      <c r="A68" s="4">
        <v>42186</v>
      </c>
      <c r="B68" s="5">
        <f>LN(Sheet2!B69)</f>
        <v>9.5090365656910638</v>
      </c>
      <c r="C68">
        <f>Sheet2!E69</f>
        <v>3.0272484500000001</v>
      </c>
      <c r="D68" s="11">
        <f>Sheet2!H69</f>
        <v>0.28898845983716892</v>
      </c>
      <c r="E68" s="11">
        <f>Sheet2!I69</f>
        <v>13.978976790129162</v>
      </c>
      <c r="F68">
        <f>Sheet2!L69</f>
        <v>7.37</v>
      </c>
      <c r="G68" s="11">
        <f>LN(Sheet2!M69)</f>
        <v>5.1525089309203054</v>
      </c>
    </row>
    <row r="69" spans="1:7" x14ac:dyDescent="0.75">
      <c r="A69" s="4">
        <v>42217</v>
      </c>
      <c r="B69" s="5">
        <f>LN(Sheet2!B70)</f>
        <v>9.5487393227196709</v>
      </c>
      <c r="C69">
        <f>Sheet2!E70</f>
        <v>3.0714598300000002</v>
      </c>
      <c r="D69" s="11">
        <f>Sheet2!H70</f>
        <v>0.30532820564852448</v>
      </c>
      <c r="E69" s="11">
        <f>Sheet2!I70</f>
        <v>13.979870100993196</v>
      </c>
      <c r="F69">
        <f>Sheet2!L70</f>
        <v>7.36</v>
      </c>
      <c r="G69" s="11">
        <f>LN(Sheet2!M70)</f>
        <v>5.3529638185280515</v>
      </c>
    </row>
    <row r="70" spans="1:7" x14ac:dyDescent="0.75">
      <c r="A70" s="4">
        <v>42248</v>
      </c>
      <c r="B70" s="5">
        <f>LN(Sheet2!B71)</f>
        <v>9.5926733160272999</v>
      </c>
      <c r="C70">
        <f>Sheet2!E71</f>
        <v>3.1750988700000002</v>
      </c>
      <c r="D70" s="11">
        <f>Sheet2!H71</f>
        <v>0.28262096364945222</v>
      </c>
      <c r="E70" s="11">
        <f>Sheet2!I71</f>
        <v>14.024206767210616</v>
      </c>
      <c r="F70">
        <f>Sheet2!L71</f>
        <v>6.11</v>
      </c>
      <c r="G70" s="11">
        <f>LN(Sheet2!M71)</f>
        <v>5.5061072881738484</v>
      </c>
    </row>
    <row r="71" spans="1:7" x14ac:dyDescent="0.75">
      <c r="A71" s="4">
        <v>42278</v>
      </c>
      <c r="B71" s="5">
        <f>LN(Sheet2!B72)</f>
        <v>9.5206886149268755</v>
      </c>
      <c r="C71">
        <f>Sheet2!E72</f>
        <v>3.1083438600000006</v>
      </c>
      <c r="D71" s="11">
        <f>Sheet2!H72</f>
        <v>0.26406086624973496</v>
      </c>
      <c r="E71" s="11">
        <f>Sheet2!I72</f>
        <v>13.933084265046293</v>
      </c>
      <c r="F71">
        <f>Sheet2!L72</f>
        <v>6.13</v>
      </c>
      <c r="G71" s="11">
        <f>LN(Sheet2!M72)</f>
        <v>5.4307252589643085</v>
      </c>
    </row>
    <row r="72" spans="1:7" x14ac:dyDescent="0.75">
      <c r="A72" s="4">
        <v>42309</v>
      </c>
      <c r="B72" s="5">
        <f>LN(Sheet2!B73)</f>
        <v>9.5353182291716614</v>
      </c>
      <c r="C72">
        <f>Sheet2!E73</f>
        <v>2.77744291</v>
      </c>
      <c r="D72" s="11">
        <f>Sheet2!H73</f>
        <v>0.24860098899163927</v>
      </c>
      <c r="E72" s="11">
        <f>Sheet2!I73</f>
        <v>13.936708493983353</v>
      </c>
      <c r="F72">
        <f>Sheet2!L73</f>
        <v>6.13</v>
      </c>
      <c r="G72" s="11">
        <f>LN(Sheet2!M73)</f>
        <v>5.3807208019932524</v>
      </c>
    </row>
    <row r="73" spans="1:7" x14ac:dyDescent="0.75">
      <c r="A73" s="4">
        <v>42339</v>
      </c>
      <c r="B73" s="5">
        <f>LN(Sheet2!B74)</f>
        <v>9.5320614866513864</v>
      </c>
      <c r="C73">
        <f>Sheet2!E74</f>
        <v>1.8824799400000001</v>
      </c>
      <c r="D73" s="11">
        <f>Sheet2!H74</f>
        <v>0.24158325202239306</v>
      </c>
      <c r="E73" s="11">
        <f>Sheet2!I74</f>
        <v>13.978172142786294</v>
      </c>
      <c r="F73">
        <f>Sheet2!L74</f>
        <v>6.01</v>
      </c>
      <c r="G73" s="11">
        <f>LN(Sheet2!M74)</f>
        <v>5.4664944324717855</v>
      </c>
    </row>
    <row r="74" spans="1:7" x14ac:dyDescent="0.75">
      <c r="A74" s="4">
        <v>42370</v>
      </c>
      <c r="B74" s="5">
        <f>LN(Sheet2!B75)</f>
        <v>9.5357516612379705</v>
      </c>
      <c r="C74">
        <f>Sheet2!E75</f>
        <v>1.4723433399999997</v>
      </c>
      <c r="D74" s="11">
        <f>Sheet2!H75</f>
        <v>0.25043459446307709</v>
      </c>
      <c r="E74" s="11">
        <f>Sheet2!I75</f>
        <v>13.949331382449355</v>
      </c>
      <c r="F74">
        <f>Sheet2!L75</f>
        <v>6.91</v>
      </c>
      <c r="G74" s="11">
        <f>LN(Sheet2!M75)</f>
        <v>5.4998079855212776</v>
      </c>
    </row>
    <row r="75" spans="1:7" x14ac:dyDescent="0.75">
      <c r="A75" s="4">
        <v>42401</v>
      </c>
      <c r="B75" s="5">
        <f>LN(Sheet2!B76)</f>
        <v>9.5026367819787083</v>
      </c>
      <c r="C75">
        <f>Sheet2!E76</f>
        <v>1.3647541899999998</v>
      </c>
      <c r="D75" s="11">
        <f>Sheet2!H76</f>
        <v>0.23288758186752087</v>
      </c>
      <c r="E75" s="11">
        <f>Sheet2!I76</f>
        <v>13.95195437535947</v>
      </c>
      <c r="F75">
        <f>Sheet2!L76</f>
        <v>6.62</v>
      </c>
      <c r="G75" s="11">
        <f>LN(Sheet2!M76)</f>
        <v>5.4945365453186668</v>
      </c>
    </row>
    <row r="76" spans="1:7" x14ac:dyDescent="0.75">
      <c r="A76" s="4">
        <v>42430</v>
      </c>
      <c r="B76" s="5">
        <f>LN(Sheet2!B77)</f>
        <v>9.4937131728398647</v>
      </c>
      <c r="C76">
        <f>Sheet2!E77</f>
        <v>1.3545079599999998</v>
      </c>
      <c r="D76" s="11">
        <f>Sheet2!H77</f>
        <v>0.21724775614865138</v>
      </c>
      <c r="E76" s="11">
        <f>Sheet2!I77</f>
        <v>13.986773973259377</v>
      </c>
      <c r="F76">
        <f>Sheet2!L77</f>
        <v>6.39</v>
      </c>
      <c r="G76" s="11">
        <f>LN(Sheet2!M77)</f>
        <v>5.3198097418861341</v>
      </c>
    </row>
    <row r="77" spans="1:7" x14ac:dyDescent="0.75">
      <c r="A77" s="4">
        <v>42461</v>
      </c>
      <c r="B77" s="5">
        <f>LN(Sheet2!B78)</f>
        <v>9.4882750929730832</v>
      </c>
      <c r="C77">
        <f>Sheet2!E78</f>
        <v>1.2522396800000002</v>
      </c>
      <c r="D77" s="11">
        <f>Sheet2!H78</f>
        <v>0.26566625477327172</v>
      </c>
      <c r="E77" s="11">
        <f>Sheet2!I78</f>
        <v>13.981471701738924</v>
      </c>
      <c r="F77">
        <f>Sheet2!L78</f>
        <v>6.38</v>
      </c>
      <c r="G77" s="11">
        <f>LN(Sheet2!M78)</f>
        <v>5.2903833563154201</v>
      </c>
    </row>
    <row r="78" spans="1:7" x14ac:dyDescent="0.75">
      <c r="A78" s="4">
        <v>42491</v>
      </c>
      <c r="B78" s="5">
        <f>LN(Sheet2!B79)</f>
        <v>9.5189274051078598</v>
      </c>
      <c r="C78">
        <f>Sheet2!E79</f>
        <v>1.1553339899999999</v>
      </c>
      <c r="D78" s="11">
        <f>Sheet2!H79</f>
        <v>0.24051428096329575</v>
      </c>
      <c r="E78" s="11">
        <f>Sheet2!I79</f>
        <v>13.966677356155564</v>
      </c>
      <c r="F78">
        <f>Sheet2!L79</f>
        <v>6.38</v>
      </c>
      <c r="G78" s="11">
        <f>LN(Sheet2!M79)</f>
        <v>5.2479119553874511</v>
      </c>
    </row>
    <row r="79" spans="1:7" x14ac:dyDescent="0.75">
      <c r="A79" s="4">
        <v>42522</v>
      </c>
      <c r="B79" s="5">
        <f>LN(Sheet2!B80)</f>
        <v>9.4864558080564976</v>
      </c>
      <c r="C79">
        <f>Sheet2!E80</f>
        <v>1.2270842100000001</v>
      </c>
      <c r="D79" s="11">
        <f>Sheet2!H80</f>
        <v>0.26426715419963004</v>
      </c>
      <c r="E79" s="11">
        <f>Sheet2!I80</f>
        <v>14.015957903940331</v>
      </c>
      <c r="F79">
        <f>Sheet2!L80</f>
        <v>6.12</v>
      </c>
      <c r="G79" s="11">
        <f>LN(Sheet2!M80)</f>
        <v>5.259646938323864</v>
      </c>
    </row>
    <row r="80" spans="1:7" x14ac:dyDescent="0.75">
      <c r="A80" s="4">
        <v>42552</v>
      </c>
      <c r="B80" s="5">
        <f>LN(Sheet2!B81)</f>
        <v>9.4799093890010369</v>
      </c>
      <c r="C80">
        <f>Sheet2!E81</f>
        <v>1.3159857499999998</v>
      </c>
      <c r="D80" s="11">
        <f>Sheet2!H81</f>
        <v>0.21986866548950557</v>
      </c>
      <c r="E80" s="11">
        <f>Sheet2!I81</f>
        <v>14.011823995258739</v>
      </c>
      <c r="F80">
        <f>Sheet2!L81</f>
        <v>6.11</v>
      </c>
      <c r="G80" s="11">
        <f>LN(Sheet2!M81)</f>
        <v>5.1285591311271386</v>
      </c>
    </row>
    <row r="81" spans="1:7" x14ac:dyDescent="0.75">
      <c r="A81" s="4">
        <v>42583</v>
      </c>
      <c r="B81" s="5">
        <f>LN(Sheet2!B82)</f>
        <v>9.4955193142098455</v>
      </c>
      <c r="C81">
        <f>Sheet2!E82</f>
        <v>1.0109170699999996</v>
      </c>
      <c r="D81" s="11">
        <f>Sheet2!H82</f>
        <v>0.2463158260361174</v>
      </c>
      <c r="E81" s="11">
        <f>Sheet2!I82</f>
        <v>14.053745830208358</v>
      </c>
      <c r="F81">
        <f>Sheet2!L82</f>
        <v>4.8499999999999996</v>
      </c>
      <c r="G81" s="11">
        <f>LN(Sheet2!M82)</f>
        <v>4.9867262295244075</v>
      </c>
    </row>
    <row r="82" spans="1:7" x14ac:dyDescent="0.75">
      <c r="A82" s="4">
        <v>42614</v>
      </c>
      <c r="B82" s="5">
        <f>LN(Sheet2!B83)</f>
        <v>9.4725507784542948</v>
      </c>
      <c r="C82">
        <f>Sheet2!E83</f>
        <v>0.93841292000000021</v>
      </c>
      <c r="D82" s="11">
        <f>Sheet2!H83</f>
        <v>0.251327405221345</v>
      </c>
      <c r="E82" s="11">
        <f>Sheet2!I83</f>
        <v>14.054753550984163</v>
      </c>
      <c r="F82">
        <f>Sheet2!L83</f>
        <v>4.5999999999999996</v>
      </c>
      <c r="G82" s="11">
        <f>LN(Sheet2!M83)</f>
        <v>4.9801236016353601</v>
      </c>
    </row>
    <row r="83" spans="1:7" x14ac:dyDescent="0.75">
      <c r="A83" s="4">
        <v>42644</v>
      </c>
      <c r="B83" s="5">
        <f>LN(Sheet2!B84)</f>
        <v>9.4766200381675283</v>
      </c>
      <c r="C83">
        <f>Sheet2!E84</f>
        <v>0.8762349300000003</v>
      </c>
      <c r="D83" s="11">
        <f>Sheet2!H84</f>
        <v>0.24978913102882763</v>
      </c>
      <c r="E83" s="11">
        <f>Sheet2!I84</f>
        <v>14.058334509497396</v>
      </c>
      <c r="F83">
        <f>Sheet2!L84</f>
        <v>4.3499999999999996</v>
      </c>
      <c r="G83" s="11">
        <f>LN(Sheet2!M84)</f>
        <v>5.0221801411827176</v>
      </c>
    </row>
    <row r="84" spans="1:7" x14ac:dyDescent="0.75">
      <c r="A84" s="4">
        <v>42675</v>
      </c>
      <c r="B84" s="5">
        <f>LN(Sheet2!B85)</f>
        <v>9.5151007759627149</v>
      </c>
      <c r="C84">
        <f>Sheet2!E85</f>
        <v>0.92163943999999987</v>
      </c>
      <c r="D84" s="11">
        <f>Sheet2!H85</f>
        <v>0.28666300702241165</v>
      </c>
      <c r="E84" s="11">
        <f>Sheet2!I85</f>
        <v>14.048908053442407</v>
      </c>
      <c r="F84">
        <f>Sheet2!L85</f>
        <v>4.34</v>
      </c>
      <c r="G84" s="11">
        <f>LN(Sheet2!M85)</f>
        <v>5.1409506496006792</v>
      </c>
    </row>
    <row r="85" spans="1:7" x14ac:dyDescent="0.75">
      <c r="A85" s="4">
        <v>42705</v>
      </c>
      <c r="B85" s="5">
        <f>LN(Sheet2!B86)</f>
        <v>9.5056929507321826</v>
      </c>
      <c r="C85">
        <f>Sheet2!E86</f>
        <v>0.87169051000000009</v>
      </c>
      <c r="D85" s="11">
        <f>Sheet2!H86</f>
        <v>0.29884704926978356</v>
      </c>
      <c r="E85" s="11">
        <f>Sheet2!I86</f>
        <v>14.077057627080119</v>
      </c>
      <c r="F85">
        <f>Sheet2!L86</f>
        <v>4.21</v>
      </c>
      <c r="G85" s="11">
        <f>LN(Sheet2!M86)</f>
        <v>5.0949692009708096</v>
      </c>
    </row>
    <row r="86" spans="1:7" x14ac:dyDescent="0.75">
      <c r="A86" s="4">
        <v>42736</v>
      </c>
      <c r="B86" s="5">
        <f>LN(Sheet2!B87)</f>
        <v>9.4987471817424201</v>
      </c>
      <c r="C86">
        <f>Sheet2!E87</f>
        <v>1.1029492099999998</v>
      </c>
      <c r="D86" s="11">
        <f>Sheet2!H87</f>
        <v>0.31531772167205679</v>
      </c>
      <c r="E86" s="11">
        <f>Sheet2!I87</f>
        <v>14.082060190010232</v>
      </c>
      <c r="F86">
        <f>Sheet2!L87</f>
        <v>4.0999999999999996</v>
      </c>
      <c r="G86" s="11">
        <f>LN(Sheet2!M87)</f>
        <v>5.0230123211034199</v>
      </c>
    </row>
    <row r="87" spans="1:7" x14ac:dyDescent="0.75">
      <c r="A87" s="4">
        <v>42767</v>
      </c>
      <c r="B87" s="5">
        <f>LN(Sheet2!B88)</f>
        <v>9.4990469194741518</v>
      </c>
      <c r="C87">
        <f>Sheet2!E88</f>
        <v>1.1761821800000001</v>
      </c>
      <c r="D87" s="11">
        <f>Sheet2!H88</f>
        <v>0.30259448998104049</v>
      </c>
      <c r="E87" s="11">
        <f>Sheet2!I88</f>
        <v>14.112221420444248</v>
      </c>
      <c r="F87">
        <f>Sheet2!L88</f>
        <v>4.09</v>
      </c>
      <c r="G87" s="11">
        <f>LN(Sheet2!M88)</f>
        <v>4.9192185915295381</v>
      </c>
    </row>
    <row r="88" spans="1:7" x14ac:dyDescent="0.75">
      <c r="A88" s="4">
        <v>42795</v>
      </c>
      <c r="B88" s="5">
        <f>LN(Sheet2!B89)</f>
        <v>9.4970970163514625</v>
      </c>
      <c r="C88">
        <f>Sheet2!E89</f>
        <v>1.25575364</v>
      </c>
      <c r="D88" s="11">
        <f>Sheet2!H89</f>
        <v>0.30370363361205921</v>
      </c>
      <c r="E88" s="11">
        <f>Sheet2!I89</f>
        <v>14.148515454589511</v>
      </c>
      <c r="F88">
        <f>Sheet2!L89</f>
        <v>3.96</v>
      </c>
      <c r="G88" s="11">
        <f>LN(Sheet2!M89)</f>
        <v>4.8589289673974578</v>
      </c>
    </row>
    <row r="89" spans="1:7" x14ac:dyDescent="0.75">
      <c r="A89" s="4">
        <v>42826</v>
      </c>
      <c r="B89" s="5">
        <f>LN(Sheet2!B90)</f>
        <v>9.4975473315797263</v>
      </c>
      <c r="C89">
        <f>Sheet2!E90</f>
        <v>1.3828203599999997</v>
      </c>
      <c r="D89" s="11">
        <f>Sheet2!H90</f>
        <v>0.28827622992185042</v>
      </c>
      <c r="E89" s="11">
        <f>Sheet2!I90</f>
        <v>14.168377822885391</v>
      </c>
      <c r="F89">
        <f>Sheet2!L90</f>
        <v>3.85</v>
      </c>
      <c r="G89" s="11">
        <f>LN(Sheet2!M90)</f>
        <v>4.8816118207566426</v>
      </c>
    </row>
    <row r="90" spans="1:7" x14ac:dyDescent="0.75">
      <c r="A90" s="4">
        <v>42856</v>
      </c>
      <c r="B90" s="5">
        <f>LN(Sheet2!B91)</f>
        <v>9.4970970163514625</v>
      </c>
      <c r="C90">
        <f>Sheet2!E91</f>
        <v>1.46639539</v>
      </c>
      <c r="D90" s="11">
        <f>Sheet2!H91</f>
        <v>0.29884088583795554</v>
      </c>
      <c r="E90" s="11">
        <f>Sheet2!I91</f>
        <v>14.184980337768593</v>
      </c>
      <c r="F90">
        <f>Sheet2!L91</f>
        <v>3.84</v>
      </c>
      <c r="G90" s="11">
        <f>LN(Sheet2!M91)</f>
        <v>4.8350997039389387</v>
      </c>
    </row>
    <row r="91" spans="1:7" x14ac:dyDescent="0.75">
      <c r="A91" s="4">
        <v>42887</v>
      </c>
      <c r="B91" s="5">
        <f>LN(Sheet2!B92)</f>
        <v>9.4969468662010303</v>
      </c>
      <c r="C91">
        <f>Sheet2!E92</f>
        <v>1.4341281900000002</v>
      </c>
      <c r="D91" s="11">
        <f>Sheet2!H92</f>
        <v>0.2638637391046072</v>
      </c>
      <c r="E91" s="11">
        <f>Sheet2!I92</f>
        <v>14.176001458869353</v>
      </c>
      <c r="F91">
        <f>Sheet2!L92</f>
        <v>3.71</v>
      </c>
      <c r="G91" s="11">
        <f>LN(Sheet2!M92)</f>
        <v>4.7617717560326192</v>
      </c>
    </row>
    <row r="92" spans="1:7" x14ac:dyDescent="0.75">
      <c r="A92" s="4">
        <v>42917</v>
      </c>
      <c r="B92" s="5">
        <f>LN(Sheet2!B93)</f>
        <v>9.4972471439602124</v>
      </c>
      <c r="C92">
        <f>Sheet2!E93</f>
        <v>1.3777705900000001</v>
      </c>
      <c r="D92" s="11">
        <f>Sheet2!H93</f>
        <v>0.31108249894978957</v>
      </c>
      <c r="E92" s="11">
        <f>Sheet2!I93</f>
        <v>14.210295818986999</v>
      </c>
      <c r="F92">
        <f>Sheet2!L93</f>
        <v>3.6</v>
      </c>
      <c r="G92" s="11">
        <f>LN(Sheet2!M93)</f>
        <v>4.7483511216594074</v>
      </c>
    </row>
    <row r="93" spans="1:7" x14ac:dyDescent="0.75">
      <c r="A93" s="4">
        <v>42948</v>
      </c>
      <c r="B93" s="5">
        <f>LN(Sheet2!B94)</f>
        <v>9.499346567390095</v>
      </c>
      <c r="C93">
        <f>Sheet2!E94</f>
        <v>1.3210007999999998</v>
      </c>
      <c r="D93" s="11">
        <f>Sheet2!H94</f>
        <v>0.30160985562141623</v>
      </c>
      <c r="E93" s="11">
        <f>Sheet2!I94</f>
        <v>14.226747026353754</v>
      </c>
      <c r="F93">
        <f>Sheet2!L94</f>
        <v>3.34</v>
      </c>
      <c r="G93" s="11">
        <f>LN(Sheet2!M94)</f>
        <v>4.6904220449188125</v>
      </c>
    </row>
    <row r="94" spans="1:7" x14ac:dyDescent="0.75">
      <c r="A94" s="4">
        <v>42979</v>
      </c>
      <c r="B94" s="5">
        <f>LN(Sheet2!B95)</f>
        <v>9.5098521961815408</v>
      </c>
      <c r="C94">
        <f>Sheet2!E95</f>
        <v>1.4047785500000001</v>
      </c>
      <c r="D94" s="11">
        <f>Sheet2!H95</f>
        <v>0.29662276230070855</v>
      </c>
      <c r="E94" s="11">
        <f>Sheet2!I95</f>
        <v>14.240843402360094</v>
      </c>
      <c r="F94">
        <f>Sheet2!L95</f>
        <v>3.1</v>
      </c>
      <c r="G94" s="11">
        <f>LN(Sheet2!M95)</f>
        <v>4.6046576737237341</v>
      </c>
    </row>
    <row r="95" spans="1:7" x14ac:dyDescent="0.75">
      <c r="A95" s="4">
        <v>43009</v>
      </c>
      <c r="B95" s="5">
        <f>LN(Sheet2!B96)</f>
        <v>9.5157641259041199</v>
      </c>
      <c r="C95">
        <f>Sheet2!E96</f>
        <v>1.3132679</v>
      </c>
      <c r="D95" s="11">
        <f>Sheet2!H96</f>
        <v>0.29084147929004994</v>
      </c>
      <c r="E95" s="11">
        <f>Sheet2!I96</f>
        <v>14.22442363498986</v>
      </c>
      <c r="F95">
        <f>Sheet2!L96</f>
        <v>3.1</v>
      </c>
      <c r="G95" s="11">
        <f>LN(Sheet2!M96)</f>
        <v>4.5827688668334208</v>
      </c>
    </row>
    <row r="96" spans="1:7" x14ac:dyDescent="0.75">
      <c r="A96" s="4">
        <v>43040</v>
      </c>
      <c r="B96" s="5">
        <f>LN(Sheet2!B97)</f>
        <v>9.5114814641121193</v>
      </c>
      <c r="C96">
        <f>Sheet2!E97</f>
        <v>1.3138358599999997</v>
      </c>
      <c r="D96" s="11">
        <f>Sheet2!H97</f>
        <v>0.3323203234202638</v>
      </c>
      <c r="E96" s="11">
        <f>Sheet2!I97</f>
        <v>14.207736250505533</v>
      </c>
      <c r="F96">
        <f>Sheet2!L97</f>
        <v>3.09</v>
      </c>
      <c r="G96" s="11">
        <f>LN(Sheet2!M97)</f>
        <v>4.5825508318023704</v>
      </c>
    </row>
    <row r="97" spans="1:7" x14ac:dyDescent="0.75">
      <c r="A97" s="4">
        <v>43070</v>
      </c>
      <c r="B97" s="5">
        <f>LN(Sheet2!B98)</f>
        <v>9.5139942139376625</v>
      </c>
      <c r="C97">
        <f>Sheet2!E98</f>
        <v>1.1821071099999998</v>
      </c>
      <c r="D97" s="11">
        <f>Sheet2!H98</f>
        <v>0.31706757488085202</v>
      </c>
      <c r="E97" s="11">
        <f>Sheet2!I98</f>
        <v>14.24848574976334</v>
      </c>
      <c r="F97">
        <f>Sheet2!L98</f>
        <v>2.95</v>
      </c>
      <c r="G97" s="11">
        <f>LN(Sheet2!M98)</f>
        <v>4.5057044313495975</v>
      </c>
    </row>
    <row r="98" spans="1:7" x14ac:dyDescent="0.75">
      <c r="A98" s="4">
        <v>43101</v>
      </c>
      <c r="B98" s="5">
        <f>LN(Sheet2!B99)</f>
        <v>9.50397966490209</v>
      </c>
      <c r="C98">
        <f>Sheet2!E99</f>
        <v>0.8026415899999999</v>
      </c>
      <c r="D98" s="11">
        <f>Sheet2!H99</f>
        <v>0.34996888800834575</v>
      </c>
      <c r="E98" s="11">
        <f>Sheet2!I99</f>
        <v>14.242920056978159</v>
      </c>
      <c r="F98">
        <f>Sheet2!L99</f>
        <v>2.84</v>
      </c>
      <c r="G98" s="11">
        <f>LN(Sheet2!M99)</f>
        <v>4.3863677418965246</v>
      </c>
    </row>
    <row r="99" spans="1:7" x14ac:dyDescent="0.75">
      <c r="A99" s="4">
        <v>43132</v>
      </c>
      <c r="B99" s="5">
        <f>LN(Sheet2!B100)</f>
        <v>9.5256619302313812</v>
      </c>
      <c r="C99">
        <f>Sheet2!E100</f>
        <v>0.70664435999999986</v>
      </c>
      <c r="D99" s="11">
        <f>Sheet2!H100</f>
        <v>0.31603836973705157</v>
      </c>
      <c r="E99" s="11">
        <f>Sheet2!I100</f>
        <v>14.240002639685885</v>
      </c>
      <c r="F99">
        <f>Sheet2!L100</f>
        <v>2.83</v>
      </c>
      <c r="G99" s="11">
        <f>LN(Sheet2!M100)</f>
        <v>4.472489859675302</v>
      </c>
    </row>
    <row r="100" spans="1:7" x14ac:dyDescent="0.75">
      <c r="A100" s="4">
        <v>43160</v>
      </c>
      <c r="B100" s="5">
        <f>LN(Sheet2!B101)</f>
        <v>9.5292303715521562</v>
      </c>
      <c r="C100">
        <f>Sheet2!E101</f>
        <v>0.55030650000000003</v>
      </c>
      <c r="D100" s="11">
        <f>Sheet2!H101</f>
        <v>0.33188701880805987</v>
      </c>
      <c r="E100" s="11">
        <f>Sheet2!I101</f>
        <v>14.237238138985324</v>
      </c>
      <c r="F100">
        <f>Sheet2!L101</f>
        <v>2.74</v>
      </c>
      <c r="G100" s="11">
        <f>LN(Sheet2!M101)</f>
        <v>4.5478381207079677</v>
      </c>
    </row>
    <row r="101" spans="1:7" x14ac:dyDescent="0.75">
      <c r="A101" s="4">
        <v>43191</v>
      </c>
      <c r="B101" s="5">
        <f>LN(Sheet2!B102)</f>
        <v>9.5379880723710109</v>
      </c>
      <c r="C101">
        <f>Sheet2!E102</f>
        <v>0.54377219999999982</v>
      </c>
      <c r="D101" s="11">
        <f>Sheet2!H102</f>
        <v>0.33397644441959862</v>
      </c>
      <c r="E101" s="11">
        <f>Sheet2!I102</f>
        <v>14.230322157885826</v>
      </c>
      <c r="F101">
        <f>Sheet2!L102</f>
        <v>2.56</v>
      </c>
      <c r="G101" s="11">
        <f>LN(Sheet2!M102)</f>
        <v>4.612169916329723</v>
      </c>
    </row>
    <row r="102" spans="1:7" x14ac:dyDescent="0.75">
      <c r="A102" s="4">
        <v>43221</v>
      </c>
      <c r="B102" s="5">
        <f>LN(Sheet2!B103)</f>
        <v>9.5433064692681082</v>
      </c>
      <c r="C102">
        <f>Sheet2!E103</f>
        <v>0.47511687999999985</v>
      </c>
      <c r="D102" s="11">
        <f>Sheet2!H103</f>
        <v>0.33733260630563539</v>
      </c>
      <c r="E102" s="11">
        <f>Sheet2!I103</f>
        <v>14.188511535983588</v>
      </c>
      <c r="F102">
        <f>Sheet2!L103</f>
        <v>3.05</v>
      </c>
      <c r="G102" s="11">
        <f>LN(Sheet2!M103)</f>
        <v>4.7740617453397842</v>
      </c>
    </row>
    <row r="103" spans="1:7" x14ac:dyDescent="0.75">
      <c r="A103" s="4">
        <v>43252</v>
      </c>
      <c r="B103" s="5">
        <f>LN(Sheet2!B104)</f>
        <v>9.5752612247687665</v>
      </c>
      <c r="C103">
        <f>Sheet2!E104</f>
        <v>0.47882574</v>
      </c>
      <c r="D103" s="11">
        <f>Sheet2!H104</f>
        <v>0.28650786889101187</v>
      </c>
      <c r="E103" s="11">
        <f>Sheet2!I104</f>
        <v>14.209173500364363</v>
      </c>
      <c r="F103">
        <f>Sheet2!L104</f>
        <v>3.4299999999999997</v>
      </c>
      <c r="G103" s="11">
        <f>LN(Sheet2!M104)</f>
        <v>4.8746988347452351</v>
      </c>
    </row>
    <row r="104" spans="1:7" x14ac:dyDescent="0.75">
      <c r="A104" s="4">
        <v>43282</v>
      </c>
      <c r="B104" s="5">
        <f>LN(Sheet2!B105)</f>
        <v>9.5758858560831026</v>
      </c>
      <c r="C104">
        <f>Sheet2!E105</f>
        <v>0.60601054000000021</v>
      </c>
      <c r="D104" s="11">
        <f>Sheet2!H105</f>
        <v>0.35235750443730735</v>
      </c>
      <c r="E104" s="11">
        <f>Sheet2!I105</f>
        <v>14.185218946360319</v>
      </c>
      <c r="F104">
        <f>Sheet2!L105</f>
        <v>3.34</v>
      </c>
      <c r="G104" s="11">
        <f>LN(Sheet2!M105)</f>
        <v>4.7992455019858511</v>
      </c>
    </row>
    <row r="105" spans="1:7" x14ac:dyDescent="0.75">
      <c r="A105" s="4">
        <v>43313</v>
      </c>
      <c r="B105" s="5">
        <f>LN(Sheet2!B106)</f>
        <v>9.5963507922502114</v>
      </c>
      <c r="C105">
        <f>Sheet2!E106</f>
        <v>0.77754172999999982</v>
      </c>
      <c r="D105" s="11">
        <f>Sheet2!H106</f>
        <v>0.35281479713660657</v>
      </c>
      <c r="E105" s="11">
        <f>Sheet2!I106</f>
        <v>14.209954778577947</v>
      </c>
      <c r="F105">
        <f>Sheet2!L106</f>
        <v>3.59</v>
      </c>
      <c r="G105" s="11">
        <f>LN(Sheet2!M106)</f>
        <v>4.7762076641870044</v>
      </c>
    </row>
    <row r="106" spans="1:7" x14ac:dyDescent="0.75">
      <c r="A106" s="4">
        <v>43344</v>
      </c>
      <c r="B106" s="5">
        <f>LN(Sheet2!B107)</f>
        <v>9.6110609090535899</v>
      </c>
      <c r="C106">
        <f>Sheet2!E107</f>
        <v>0.62509859999999984</v>
      </c>
      <c r="D106" s="11">
        <f>Sheet2!H107</f>
        <v>0.33716344494757117</v>
      </c>
      <c r="E106" s="11">
        <f>Sheet2!I107</f>
        <v>14.20132726768237</v>
      </c>
      <c r="F106">
        <f>Sheet2!L107</f>
        <v>3.8</v>
      </c>
      <c r="G106" s="11">
        <f>LN(Sheet2!M107)</f>
        <v>4.920585852312251</v>
      </c>
    </row>
    <row r="107" spans="1:7" x14ac:dyDescent="0.75">
      <c r="A107" s="4">
        <v>43374</v>
      </c>
      <c r="B107" s="5">
        <f>LN(Sheet2!B108)</f>
        <v>9.6308254468407331</v>
      </c>
      <c r="C107">
        <f>Sheet2!E108</f>
        <v>0.81404576999999989</v>
      </c>
      <c r="D107" s="11">
        <f>Sheet2!H108</f>
        <v>0.31128688831350093</v>
      </c>
      <c r="E107" s="11">
        <f>Sheet2!I108</f>
        <v>14.217264354333627</v>
      </c>
      <c r="F107">
        <f>Sheet2!L108</f>
        <v>3.56</v>
      </c>
      <c r="G107" s="11">
        <f>LN(Sheet2!M108)</f>
        <v>4.9944122351029563</v>
      </c>
    </row>
    <row r="108" spans="1:7" x14ac:dyDescent="0.75">
      <c r="A108" s="4">
        <v>43405</v>
      </c>
      <c r="B108" s="5">
        <f>LN(Sheet2!B109)</f>
        <v>9.57073837671504</v>
      </c>
      <c r="C108">
        <f>Sheet2!E109</f>
        <v>0.81912525999999986</v>
      </c>
      <c r="D108" s="11">
        <f>Sheet2!H109</f>
        <v>0.31426191746191817</v>
      </c>
      <c r="E108" s="11">
        <f>Sheet2!I109</f>
        <v>14.183114423087359</v>
      </c>
      <c r="F108">
        <f>Sheet2!L109</f>
        <v>3.8</v>
      </c>
      <c r="G108" s="11">
        <f>LN(Sheet2!M109)</f>
        <v>4.9997652161629622</v>
      </c>
    </row>
    <row r="109" spans="1:7" x14ac:dyDescent="0.75">
      <c r="A109" s="4">
        <v>43435</v>
      </c>
      <c r="B109" s="5">
        <f>LN(Sheet2!B110)</f>
        <v>9.5805927243286018</v>
      </c>
      <c r="C109">
        <f>Sheet2!E110</f>
        <v>0.8227530999999999</v>
      </c>
      <c r="D109" s="11">
        <f>Sheet2!H110</f>
        <v>0.28257089455122175</v>
      </c>
      <c r="E109" s="11">
        <f>Sheet2!I110</f>
        <v>14.181958832934214</v>
      </c>
      <c r="F109">
        <f>Sheet2!L110</f>
        <v>3.73</v>
      </c>
      <c r="G109" s="11">
        <f>LN(Sheet2!M110)</f>
        <v>4.9318150399800063</v>
      </c>
    </row>
    <row r="110" spans="1:7" x14ac:dyDescent="0.75">
      <c r="A110" s="4">
        <v>43466</v>
      </c>
      <c r="B110" s="5">
        <f>LN(Sheet2!B111)</f>
        <v>9.5519422864173933</v>
      </c>
      <c r="C110">
        <f>Sheet2!E111</f>
        <v>0.8823745999999999</v>
      </c>
      <c r="D110" s="11">
        <f>Sheet2!H111</f>
        <v>0.27428840221837181</v>
      </c>
      <c r="E110" s="11">
        <f>Sheet2!I111</f>
        <v>14.143073358884378</v>
      </c>
      <c r="F110">
        <f>Sheet2!L111</f>
        <v>3.6</v>
      </c>
      <c r="G110" s="11">
        <f>LN(Sheet2!M111)</f>
        <v>4.8452108689586639</v>
      </c>
    </row>
    <row r="111" spans="1:7" x14ac:dyDescent="0.75">
      <c r="A111" s="4">
        <v>43497</v>
      </c>
      <c r="B111" s="5">
        <f>LN(Sheet2!B112)</f>
        <v>9.5512314027591074</v>
      </c>
      <c r="C111">
        <f>Sheet2!E112</f>
        <v>0.92087840999999981</v>
      </c>
      <c r="D111" s="11">
        <f>Sheet2!H112</f>
        <v>0.26118065248283634</v>
      </c>
      <c r="E111" s="11">
        <f>Sheet2!I112</f>
        <v>14.187858158677834</v>
      </c>
      <c r="F111">
        <f>Sheet2!L112</f>
        <v>3.6</v>
      </c>
      <c r="G111" s="11">
        <f>LN(Sheet2!M112)</f>
        <v>4.7050277380777485</v>
      </c>
    </row>
    <row r="112" spans="1:7" x14ac:dyDescent="0.75">
      <c r="A112" s="4">
        <v>43525</v>
      </c>
      <c r="B112" s="5">
        <f>LN(Sheet2!B113)</f>
        <v>9.564091044397669</v>
      </c>
      <c r="C112">
        <f>Sheet2!E113</f>
        <v>0.96545811000000015</v>
      </c>
      <c r="D112" s="11">
        <f>Sheet2!H113</f>
        <v>0.26298841228356101</v>
      </c>
      <c r="E112" s="11">
        <f>Sheet2!I113</f>
        <v>14.199060329777465</v>
      </c>
      <c r="F112">
        <f>Sheet2!L113</f>
        <v>3.59</v>
      </c>
      <c r="G112" s="11">
        <f>LN(Sheet2!M113)</f>
        <v>4.512315275256559</v>
      </c>
    </row>
    <row r="113" spans="1:7" x14ac:dyDescent="0.75">
      <c r="A113" s="4">
        <v>43556</v>
      </c>
      <c r="B113" s="5">
        <f>LN(Sheet2!B114)</f>
        <v>9.5620530240851007</v>
      </c>
      <c r="C113">
        <f>Sheet2!E114</f>
        <v>0.96024633999999987</v>
      </c>
      <c r="D113" s="11">
        <f>Sheet2!H114</f>
        <v>0.27122326408618286</v>
      </c>
      <c r="E113" s="11">
        <f>Sheet2!I114</f>
        <v>14.167390048071947</v>
      </c>
      <c r="F113">
        <f>Sheet2!L114</f>
        <v>3.58</v>
      </c>
      <c r="G113" s="11">
        <f>LN(Sheet2!M114)</f>
        <v>4.5548161632654294</v>
      </c>
    </row>
    <row r="114" spans="1:7" x14ac:dyDescent="0.75">
      <c r="A114" s="4">
        <v>43586</v>
      </c>
      <c r="B114" s="5">
        <f>LN(Sheet2!B115)</f>
        <v>9.5739412759856481</v>
      </c>
      <c r="C114">
        <f>Sheet2!E115</f>
        <v>1.1452691900000003</v>
      </c>
      <c r="D114" s="11">
        <f>Sheet2!H115</f>
        <v>0.25241422116298645</v>
      </c>
      <c r="E114" s="11">
        <f>Sheet2!I115</f>
        <v>14.15436219727467</v>
      </c>
      <c r="F114">
        <f>Sheet2!L115</f>
        <v>3.61</v>
      </c>
      <c r="G114" s="11">
        <f>LN(Sheet2!M115)</f>
        <v>4.6521902544413436</v>
      </c>
    </row>
    <row r="115" spans="1:7" x14ac:dyDescent="0.75">
      <c r="A115" s="4">
        <v>43617</v>
      </c>
      <c r="B115" s="5">
        <f>LN(Sheet2!B116)</f>
        <v>9.5568336583077773</v>
      </c>
      <c r="C115">
        <f>Sheet2!E116</f>
        <v>1.1802420799999997</v>
      </c>
      <c r="D115" s="11">
        <f>Sheet2!H116</f>
        <v>0.28359042004976148</v>
      </c>
      <c r="E115" s="11">
        <f>Sheet2!I116</f>
        <v>14.185293419555512</v>
      </c>
      <c r="F115">
        <f>Sheet2!L116</f>
        <v>3.62</v>
      </c>
      <c r="G115" s="11">
        <f>LN(Sheet2!M116)</f>
        <v>4.6463879421843624</v>
      </c>
    </row>
    <row r="116" spans="1:7" x14ac:dyDescent="0.75">
      <c r="A116" s="4">
        <v>43647</v>
      </c>
      <c r="B116" s="5">
        <f>LN(Sheet2!B117)</f>
        <v>9.5486680290968557</v>
      </c>
      <c r="C116">
        <f>Sheet2!E117</f>
        <v>1.01182521</v>
      </c>
      <c r="D116" s="11">
        <f>Sheet2!H117</f>
        <v>0.30802959102238675</v>
      </c>
      <c r="E116" s="11">
        <f>Sheet2!I117</f>
        <v>14.198874859183398</v>
      </c>
      <c r="F116">
        <f>Sheet2!L117</f>
        <v>3.35</v>
      </c>
      <c r="G116" s="11">
        <f>LN(Sheet2!M117)</f>
        <v>4.4678766944797292</v>
      </c>
    </row>
    <row r="117" spans="1:7" x14ac:dyDescent="0.75">
      <c r="A117" s="4">
        <v>43678</v>
      </c>
      <c r="B117" s="5">
        <f>LN(Sheet2!B118)</f>
        <v>9.563599488613745</v>
      </c>
      <c r="C117">
        <f>Sheet2!E118</f>
        <v>0.98240292999999967</v>
      </c>
      <c r="D117" s="11">
        <f>Sheet2!H118</f>
        <v>0.30423736644671945</v>
      </c>
      <c r="E117" s="11">
        <f>Sheet2!I118</f>
        <v>14.238170412140363</v>
      </c>
      <c r="F117">
        <f>Sheet2!L118</f>
        <v>3.37</v>
      </c>
      <c r="G117" s="11">
        <f>LN(Sheet2!M118)</f>
        <v>4.5302404077127347</v>
      </c>
    </row>
    <row r="118" spans="1:7" x14ac:dyDescent="0.75">
      <c r="A118" s="4">
        <v>43709</v>
      </c>
      <c r="B118" s="5">
        <f>LN(Sheet2!B119)</f>
        <v>9.5591645793702007</v>
      </c>
      <c r="C118">
        <f>Sheet2!E119</f>
        <v>0.98820437000000005</v>
      </c>
      <c r="D118" s="11">
        <f>Sheet2!H119</f>
        <v>0.27191809278833584</v>
      </c>
      <c r="E118" s="11">
        <f>Sheet2!I119</f>
        <v>14.227948644916284</v>
      </c>
      <c r="F118">
        <f>Sheet2!L119</f>
        <v>3.21</v>
      </c>
      <c r="G118" s="11">
        <f>LN(Sheet2!M119)</f>
        <v>4.3642256812626066</v>
      </c>
    </row>
    <row r="119" spans="1:7" x14ac:dyDescent="0.75">
      <c r="A119" s="4">
        <v>43739</v>
      </c>
      <c r="B119" s="5">
        <f>LN(Sheet2!B120)</f>
        <v>9.5473838739656873</v>
      </c>
      <c r="C119">
        <f>Sheet2!E120</f>
        <v>0.85984134999999995</v>
      </c>
      <c r="D119" s="11">
        <f>Sheet2!H120</f>
        <v>0.26286721281810055</v>
      </c>
      <c r="E119" s="11">
        <f>Sheet2!I120</f>
        <v>14.236611053847298</v>
      </c>
      <c r="F119">
        <f>Sheet2!L120</f>
        <v>3.17</v>
      </c>
      <c r="G119" s="11">
        <f>LN(Sheet2!M120)</f>
        <v>4.4445405193022545</v>
      </c>
    </row>
    <row r="120" spans="1:7" x14ac:dyDescent="0.75">
      <c r="A120" s="4">
        <v>43770</v>
      </c>
      <c r="B120" s="5">
        <f>LN(Sheet2!B121)</f>
        <v>9.5540719102789851</v>
      </c>
      <c r="C120">
        <f>Sheet2!E121</f>
        <v>0.72502449000000002</v>
      </c>
      <c r="D120" s="11">
        <f>Sheet2!H121</f>
        <v>0.23537141670668632</v>
      </c>
      <c r="E120" s="11">
        <f>Sheet2!I121</f>
        <v>14.228186028817211</v>
      </c>
      <c r="F120">
        <f>Sheet2!L121</f>
        <v>3.45</v>
      </c>
      <c r="G120" s="11">
        <f>LN(Sheet2!M121)</f>
        <v>4.2971493425407798</v>
      </c>
    </row>
    <row r="121" spans="1:7" x14ac:dyDescent="0.75">
      <c r="A121" s="4">
        <v>43800</v>
      </c>
      <c r="B121" s="5">
        <f>LN(Sheet2!B122)</f>
        <v>9.5397164186633816</v>
      </c>
      <c r="C121">
        <f>Sheet2!E122</f>
        <v>0.72868549000000016</v>
      </c>
      <c r="D121" s="11">
        <f>Sheet2!H122</f>
        <v>0.26299705478252766</v>
      </c>
      <c r="E121" s="11">
        <f>Sheet2!I122</f>
        <v>14.225375446162518</v>
      </c>
      <c r="F121">
        <f>Sheet2!L122</f>
        <v>3.45</v>
      </c>
      <c r="G121" s="11">
        <f>LN(Sheet2!M122)</f>
        <v>4.2465108068271151</v>
      </c>
    </row>
    <row r="122" spans="1:7" x14ac:dyDescent="0.75">
      <c r="A122" s="4">
        <v>43831</v>
      </c>
      <c r="B122" s="5">
        <f>LN(Sheet2!B123)</f>
        <v>9.5223735352917949</v>
      </c>
      <c r="C122">
        <f>Sheet2!E123</f>
        <v>0.59369081999999995</v>
      </c>
      <c r="D122" s="11">
        <f>Sheet2!H123</f>
        <v>0.31478959754611685</v>
      </c>
      <c r="E122" s="11">
        <f>Sheet2!I123</f>
        <v>14.237275361338183</v>
      </c>
      <c r="F122">
        <f>Sheet2!L123</f>
        <v>3.45</v>
      </c>
      <c r="G122" s="11">
        <f>LN(Sheet2!M123)</f>
        <v>4.147939589646545</v>
      </c>
    </row>
    <row r="123" spans="1:7" x14ac:dyDescent="0.75">
      <c r="A123" s="4">
        <v>43862</v>
      </c>
      <c r="B123" s="5">
        <f>LN(Sheet2!B124)</f>
        <v>9.5633887478592161</v>
      </c>
      <c r="C123">
        <f>Sheet2!E124</f>
        <v>0.39238322000000014</v>
      </c>
      <c r="D123" s="11">
        <f>Sheet2!H124</f>
        <v>0.24998168468575549</v>
      </c>
      <c r="E123" s="11">
        <f>Sheet2!I124</f>
        <v>14.281374028568674</v>
      </c>
      <c r="F123">
        <f>Sheet2!L124</f>
        <v>3.17</v>
      </c>
      <c r="G123" s="11">
        <f>LN(Sheet2!M124)</f>
        <v>4.1643260559720918</v>
      </c>
    </row>
    <row r="124" spans="1:7" x14ac:dyDescent="0.75">
      <c r="A124" s="4">
        <v>43891</v>
      </c>
      <c r="B124" s="5">
        <f>LN(Sheet2!B125)</f>
        <v>9.7030226969985964</v>
      </c>
      <c r="C124">
        <f>Sheet2!E125</f>
        <v>0.77509066999999998</v>
      </c>
      <c r="D124" s="11">
        <f>Sheet2!H125</f>
        <v>0.24008838603438634</v>
      </c>
      <c r="E124" s="11">
        <f>Sheet2!I125</f>
        <v>14.328918618368546</v>
      </c>
      <c r="F124">
        <f>Sheet2!L125</f>
        <v>3.85</v>
      </c>
      <c r="G124" s="11">
        <f>LN(Sheet2!M125)</f>
        <v>5.1935195713212456</v>
      </c>
    </row>
    <row r="125" spans="1:7" x14ac:dyDescent="0.75">
      <c r="A125" s="4">
        <v>43922</v>
      </c>
      <c r="B125" s="5">
        <f>LN(Sheet2!B126)</f>
        <v>9.6262180803121851</v>
      </c>
      <c r="C125">
        <f>Sheet2!E126</f>
        <v>1.4167067599999998</v>
      </c>
      <c r="D125" s="11">
        <f>Sheet2!H126</f>
        <v>0.224190514587539</v>
      </c>
      <c r="E125" s="11">
        <f>Sheet2!I126</f>
        <v>14.313978258170312</v>
      </c>
      <c r="F125">
        <f>Sheet2!L126</f>
        <v>4.45</v>
      </c>
      <c r="G125" s="11">
        <f>LN(Sheet2!M126)</f>
        <v>5.4078217843711922</v>
      </c>
    </row>
    <row r="126" spans="1:7" x14ac:dyDescent="0.75">
      <c r="A126" s="4">
        <v>43952</v>
      </c>
      <c r="B126" s="5">
        <f>LN(Sheet2!B127)</f>
        <v>9.5978454940814899</v>
      </c>
      <c r="C126">
        <f>Sheet2!E127</f>
        <v>1.4267327799999998</v>
      </c>
      <c r="D126" s="11">
        <f>Sheet2!H127</f>
        <v>0.20709088912309551</v>
      </c>
      <c r="E126" s="11">
        <f>Sheet2!I127</f>
        <v>14.321961249655741</v>
      </c>
      <c r="F126">
        <f>Sheet2!L127</f>
        <v>4.45</v>
      </c>
      <c r="G126" s="11">
        <f>LN(Sheet2!M127)</f>
        <v>5.2702742365233934</v>
      </c>
    </row>
    <row r="127" spans="1:7" x14ac:dyDescent="0.75">
      <c r="A127" s="4">
        <v>43983</v>
      </c>
      <c r="B127" s="5">
        <f>LN(Sheet2!B128)</f>
        <v>9.5681546666083417</v>
      </c>
      <c r="C127">
        <f>Sheet2!E128</f>
        <v>1.0718129000000001</v>
      </c>
      <c r="D127" s="11">
        <f>Sheet2!H128</f>
        <v>0.24207525751491682</v>
      </c>
      <c r="E127" s="11">
        <f>Sheet2!I128</f>
        <v>14.299319183246809</v>
      </c>
      <c r="F127">
        <f>Sheet2!L128</f>
        <v>4.17</v>
      </c>
      <c r="G127" s="11">
        <f>LN(Sheet2!M128)</f>
        <v>4.8797480217502862</v>
      </c>
    </row>
    <row r="128" spans="1:7" x14ac:dyDescent="0.75">
      <c r="A128" s="4">
        <v>44013</v>
      </c>
      <c r="B128" s="5">
        <f>LN(Sheet2!B129)</f>
        <v>9.5924007128650199</v>
      </c>
      <c r="C128">
        <f>Sheet2!E129</f>
        <v>0.5127425000000001</v>
      </c>
      <c r="D128" s="11">
        <f>Sheet2!H129</f>
        <v>0.27460834418355234</v>
      </c>
      <c r="E128" s="11">
        <f>Sheet2!I129</f>
        <v>14.360586408611681</v>
      </c>
      <c r="F128">
        <f>Sheet2!L129</f>
        <v>3.91</v>
      </c>
      <c r="G128" s="11">
        <f>LN(Sheet2!M129)</f>
        <v>4.8018169067848255</v>
      </c>
    </row>
    <row r="129" spans="1:7" x14ac:dyDescent="0.75">
      <c r="A129" s="4">
        <v>44044</v>
      </c>
      <c r="B129" s="5">
        <f>LN(Sheet2!B130)</f>
        <v>9.5856211489070322</v>
      </c>
      <c r="C129">
        <f>Sheet2!E130</f>
        <v>0.30541996999999976</v>
      </c>
      <c r="D129" s="11">
        <f>Sheet2!H130</f>
        <v>0.27189921702772873</v>
      </c>
      <c r="E129" s="11">
        <f>Sheet2!I130</f>
        <v>14.367846132194554</v>
      </c>
      <c r="F129">
        <f>Sheet2!L130</f>
        <v>3.9</v>
      </c>
      <c r="G129" s="11">
        <f>LN(Sheet2!M130)</f>
        <v>4.6743772567549611</v>
      </c>
    </row>
    <row r="130" spans="1:7" x14ac:dyDescent="0.75">
      <c r="A130" s="4">
        <v>44075</v>
      </c>
      <c r="B130" s="5">
        <f>LN(Sheet2!B131)</f>
        <v>9.610323816515109</v>
      </c>
      <c r="C130">
        <f>Sheet2!E131</f>
        <v>0.13903185000000007</v>
      </c>
      <c r="D130" s="11">
        <f>Sheet2!H131</f>
        <v>0.28529045926533975</v>
      </c>
      <c r="E130" s="11">
        <f>Sheet2!I131</f>
        <v>14.382254134182681</v>
      </c>
      <c r="F130">
        <f>Sheet2!L131</f>
        <v>3.91</v>
      </c>
      <c r="G130" s="11">
        <f>LN(Sheet2!M131)</f>
        <v>4.5961853979393172</v>
      </c>
    </row>
    <row r="131" spans="1:7" x14ac:dyDescent="0.75">
      <c r="A131" s="4">
        <v>44105</v>
      </c>
      <c r="B131" s="5">
        <f>LN(Sheet2!B132)</f>
        <v>9.5949222691679221</v>
      </c>
      <c r="C131">
        <f>Sheet2!E132</f>
        <v>0.10347273000000001</v>
      </c>
      <c r="D131" s="11">
        <f>Sheet2!H132</f>
        <v>0.27192704314481175</v>
      </c>
      <c r="E131" s="11">
        <f>Sheet2!I132</f>
        <v>14.366910741481062</v>
      </c>
      <c r="F131">
        <f>Sheet2!L132</f>
        <v>3.91</v>
      </c>
      <c r="G131" s="11">
        <f>LN(Sheet2!M132)</f>
        <v>4.5909878172273331</v>
      </c>
    </row>
    <row r="132" spans="1:7" x14ac:dyDescent="0.75">
      <c r="A132" s="4">
        <v>44136</v>
      </c>
      <c r="B132" s="5">
        <f>LN(Sheet2!B133)</f>
        <v>9.5559139228437413</v>
      </c>
      <c r="C132">
        <f>Sheet2!E133</f>
        <v>1.126909999999981E-3</v>
      </c>
      <c r="D132" s="11">
        <f>Sheet2!H133</f>
        <v>0.29880806599697468</v>
      </c>
      <c r="E132" s="11">
        <f>Sheet2!I133</f>
        <v>14.325851644360991</v>
      </c>
      <c r="F132">
        <f>Sheet2!L133</f>
        <v>3.66</v>
      </c>
      <c r="G132" s="11">
        <f>LN(Sheet2!M133)</f>
        <v>4.4210292608611166</v>
      </c>
    </row>
    <row r="133" spans="1:7" x14ac:dyDescent="0.75">
      <c r="A133" s="4">
        <v>44166</v>
      </c>
      <c r="B133" s="5">
        <f>LN(Sheet2!B134)</f>
        <v>9.5542849779202594</v>
      </c>
      <c r="C133">
        <f>Sheet2!E134</f>
        <v>-2.2852389999999945E-2</v>
      </c>
      <c r="D133" s="11">
        <f>Sheet2!H134</f>
        <v>0.27197758081724616</v>
      </c>
      <c r="E133" s="11">
        <f>Sheet2!I134</f>
        <v>14.352697927371974</v>
      </c>
      <c r="F133">
        <f>Sheet2!L134</f>
        <v>3.66</v>
      </c>
      <c r="G133" s="11">
        <f>LN(Sheet2!M134)</f>
        <v>4.2805817520879534</v>
      </c>
    </row>
    <row r="134" spans="1:7" x14ac:dyDescent="0.75">
      <c r="A134" s="4">
        <v>44197</v>
      </c>
      <c r="B134" s="5">
        <f>LN(Sheet2!B135)</f>
        <v>9.5527946802749426</v>
      </c>
      <c r="C134">
        <f>Sheet2!E135</f>
        <v>0.18388652999999988</v>
      </c>
      <c r="D134" s="11">
        <f>Sheet2!H135</f>
        <v>0.29641791297296716</v>
      </c>
      <c r="E134" s="11">
        <f>Sheet2!I135</f>
        <v>14.375997496052477</v>
      </c>
      <c r="F134">
        <f>Sheet2!L135</f>
        <v>3.66</v>
      </c>
      <c r="G134" s="11">
        <f>LN(Sheet2!M135)</f>
        <v>4.2755603491476757</v>
      </c>
    </row>
    <row r="135" spans="1:7" x14ac:dyDescent="0.75">
      <c r="A135" s="4">
        <v>44228</v>
      </c>
      <c r="B135" s="5">
        <f>LN(Sheet2!B136)</f>
        <v>9.5630377659406687</v>
      </c>
      <c r="C135">
        <f>Sheet2!E136</f>
        <v>0.24909428999999994</v>
      </c>
      <c r="D135" s="11">
        <f>Sheet2!H136</f>
        <v>0.34319005877762243</v>
      </c>
      <c r="E135" s="11">
        <f>Sheet2!I136</f>
        <v>14.390057053496177</v>
      </c>
      <c r="F135">
        <f>Sheet2!L136</f>
        <v>3.42</v>
      </c>
      <c r="G135" s="11">
        <f>LN(Sheet2!M136)</f>
        <v>4.2962658390177024</v>
      </c>
    </row>
    <row r="136" spans="1:7" x14ac:dyDescent="0.75">
      <c r="A136" s="4">
        <v>44256</v>
      </c>
      <c r="B136" s="5">
        <f>LN(Sheet2!B137)</f>
        <v>9.5868571581284545</v>
      </c>
      <c r="C136">
        <f>Sheet2!E137</f>
        <v>-0.43903395000000001</v>
      </c>
      <c r="D136" s="11">
        <f>Sheet2!H137</f>
        <v>0.35269279963332234</v>
      </c>
      <c r="E136" s="11">
        <f>Sheet2!I137</f>
        <v>14.405201481946984</v>
      </c>
      <c r="F136">
        <f>Sheet2!L137</f>
        <v>3.43</v>
      </c>
      <c r="G136" s="11">
        <f>LN(Sheet2!M137)</f>
        <v>4.4006120892907825</v>
      </c>
    </row>
    <row r="137" spans="1:7" x14ac:dyDescent="0.75">
      <c r="A137" s="4">
        <v>44287</v>
      </c>
      <c r="B137" s="5">
        <f>LN(Sheet2!B138)</f>
        <v>9.5796945930719879</v>
      </c>
      <c r="C137">
        <f>Sheet2!E138</f>
        <v>-1.7982012699999999</v>
      </c>
      <c r="D137" s="11">
        <f>Sheet2!H138</f>
        <v>0.39669006835997617</v>
      </c>
      <c r="E137" s="11">
        <f>Sheet2!I138</f>
        <v>14.415326145525418</v>
      </c>
      <c r="F137">
        <f>Sheet2!L138</f>
        <v>3.43</v>
      </c>
      <c r="G137" s="11">
        <f>LN(Sheet2!M138)</f>
        <v>4.4020810128093535</v>
      </c>
    </row>
    <row r="138" spans="1:7" x14ac:dyDescent="0.75">
      <c r="A138" s="4">
        <v>44317</v>
      </c>
      <c r="B138" s="5">
        <f>LN(Sheet2!B139)</f>
        <v>9.5687138725504965</v>
      </c>
      <c r="C138">
        <f>Sheet2!E139</f>
        <v>-2.4183580400000002</v>
      </c>
      <c r="D138" s="11">
        <f>Sheet2!H139</f>
        <v>0.318489991941376</v>
      </c>
      <c r="E138" s="11">
        <f>Sheet2!I139</f>
        <v>14.38412996737879</v>
      </c>
      <c r="F138">
        <f>Sheet2!L139</f>
        <v>3.44</v>
      </c>
      <c r="G138" s="11">
        <f>LN(Sheet2!M139)</f>
        <v>4.3481891203566319</v>
      </c>
    </row>
    <row r="139" spans="1:7" x14ac:dyDescent="0.75">
      <c r="A139" s="4">
        <v>44348</v>
      </c>
      <c r="B139" s="5">
        <f>LN(Sheet2!B140)</f>
        <v>9.5816280282827613</v>
      </c>
      <c r="C139">
        <f>Sheet2!E140</f>
        <v>-2.9466807799999994</v>
      </c>
      <c r="D139" s="11">
        <f>Sheet2!H140</f>
        <v>0.3855337243082842</v>
      </c>
      <c r="E139" s="11">
        <f>Sheet2!I140</f>
        <v>14.408490225855841</v>
      </c>
      <c r="F139">
        <f>Sheet2!L140</f>
        <v>3.42</v>
      </c>
      <c r="G139" s="11">
        <f>LN(Sheet2!M140)</f>
        <v>4.3100080865443005</v>
      </c>
    </row>
    <row r="140" spans="1:7" x14ac:dyDescent="0.75">
      <c r="A140" s="4">
        <v>44378</v>
      </c>
      <c r="B140" s="5">
        <f>LN(Sheet2!B141)</f>
        <v>9.5812833910876147</v>
      </c>
      <c r="C140">
        <f>Sheet2!E141</f>
        <v>-2.8153711600000002</v>
      </c>
      <c r="D140" s="11">
        <f>Sheet2!H141</f>
        <v>0.35182449351956097</v>
      </c>
      <c r="E140" s="11">
        <f>Sheet2!I141</f>
        <v>14.402816025998638</v>
      </c>
      <c r="F140">
        <f>Sheet2!L141</f>
        <v>3.4</v>
      </c>
      <c r="G140" s="11">
        <f>LN(Sheet2!M141)</f>
        <v>4.3613762390327375</v>
      </c>
    </row>
    <row r="141" spans="1:7" x14ac:dyDescent="0.75">
      <c r="A141" s="4">
        <v>44409</v>
      </c>
      <c r="B141" s="5">
        <f>LN(Sheet2!B142)</f>
        <v>9.5731762980283879</v>
      </c>
      <c r="C141">
        <f>Sheet2!E142</f>
        <v>-2.6336139100000002</v>
      </c>
      <c r="D141" s="11">
        <f>Sheet2!H142</f>
        <v>0.50036588058924814</v>
      </c>
      <c r="E141" s="11">
        <f>Sheet2!I142</f>
        <v>14.426232980353079</v>
      </c>
      <c r="F141">
        <f>Sheet2!L142</f>
        <v>3.41</v>
      </c>
      <c r="G141" s="11">
        <f>LN(Sheet2!M142)</f>
        <v>4.3184137456127907</v>
      </c>
    </row>
    <row r="142" spans="1:7" x14ac:dyDescent="0.75">
      <c r="A142" s="4">
        <v>44440</v>
      </c>
      <c r="B142" s="5">
        <f>LN(Sheet2!B143)</f>
        <v>9.5685045564455482</v>
      </c>
      <c r="C142">
        <f>Sheet2!E143</f>
        <v>-2.6985121699999999</v>
      </c>
      <c r="D142" s="11">
        <f>Sheet2!H143</f>
        <v>0.45544282959258592</v>
      </c>
      <c r="E142" s="11">
        <f>Sheet2!I143</f>
        <v>14.431415659800727</v>
      </c>
      <c r="F142">
        <f>Sheet2!L143</f>
        <v>3.42</v>
      </c>
      <c r="G142" s="11">
        <f>LN(Sheet2!M143)</f>
        <v>4.2885048547287736</v>
      </c>
    </row>
    <row r="143" spans="1:7" x14ac:dyDescent="0.75">
      <c r="A143" s="4">
        <v>44470</v>
      </c>
      <c r="B143" s="5">
        <f>LN(Sheet2!B144)</f>
        <v>9.5609271707117696</v>
      </c>
      <c r="C143">
        <f>Sheet2!E144</f>
        <v>-3.2581204500000003</v>
      </c>
      <c r="D143" s="11">
        <f>Sheet2!H144</f>
        <v>0.42592568921532997</v>
      </c>
      <c r="E143" s="11">
        <f>Sheet2!I144</f>
        <v>14.422319767109787</v>
      </c>
      <c r="F143">
        <f>Sheet2!L144</f>
        <v>3.42</v>
      </c>
      <c r="G143" s="11">
        <f>LN(Sheet2!M144)</f>
        <v>4.4472970307827602</v>
      </c>
    </row>
    <row r="144" spans="1:7" x14ac:dyDescent="0.75">
      <c r="A144" s="4">
        <v>44501</v>
      </c>
      <c r="B144" s="5">
        <f>LN(Sheet2!B145)</f>
        <v>9.5708081141536105</v>
      </c>
      <c r="C144">
        <f>Sheet2!E145</f>
        <v>-3.5278107900000002</v>
      </c>
      <c r="D144" s="11">
        <f>Sheet2!H145</f>
        <v>0.57712540945005175</v>
      </c>
      <c r="E144" s="11">
        <f>Sheet2!I145</f>
        <v>14.426464353801869</v>
      </c>
      <c r="F144">
        <f>Sheet2!L145</f>
        <v>3.42</v>
      </c>
      <c r="G144" s="11">
        <f>LN(Sheet2!M145)</f>
        <v>4.4114226919873989</v>
      </c>
    </row>
    <row r="145" spans="1:7" x14ac:dyDescent="0.75">
      <c r="A145" s="4">
        <v>44531</v>
      </c>
      <c r="B145" s="5">
        <f>LN(Sheet2!B146)</f>
        <v>9.5658449813404935</v>
      </c>
      <c r="C145">
        <f>Sheet2!E146</f>
        <v>-3.9316516300000002</v>
      </c>
      <c r="D145" s="11">
        <f>Sheet2!H146</f>
        <v>0.54732787439750463</v>
      </c>
      <c r="E145" s="11">
        <f>Sheet2!I146</f>
        <v>14.408660827985006</v>
      </c>
      <c r="F145">
        <f>Sheet2!L146</f>
        <v>3.42</v>
      </c>
      <c r="G145" s="11">
        <f>LN(Sheet2!M146)</f>
        <v>4.3674568789486035</v>
      </c>
    </row>
    <row r="146" spans="1:7" x14ac:dyDescent="0.75">
      <c r="A146" s="4">
        <v>44562</v>
      </c>
      <c r="B146" s="5">
        <f>LN(Sheet2!B147)</f>
        <v>9.5736635175672866</v>
      </c>
      <c r="C146">
        <f>Sheet2!E147</f>
        <v>-4.2164012199999998</v>
      </c>
      <c r="D146" s="11">
        <f>Sheet2!H147</f>
        <v>1.0241547187632778</v>
      </c>
      <c r="E146" s="11">
        <f>Sheet2!I147</f>
        <v>14.393588669227203</v>
      </c>
      <c r="F146">
        <f>Sheet2!L147</f>
        <v>3.42</v>
      </c>
      <c r="G146" s="11">
        <f>LN(Sheet2!M147)</f>
        <v>4.4220197143105278</v>
      </c>
    </row>
    <row r="147" spans="1:7" x14ac:dyDescent="0.75">
      <c r="A147" s="4">
        <v>44593</v>
      </c>
      <c r="B147" s="5">
        <f>LN(Sheet2!B148)</f>
        <v>9.5729679139970862</v>
      </c>
      <c r="C147">
        <f>Sheet2!E148</f>
        <v>-4.4216046499999999</v>
      </c>
      <c r="D147" s="11">
        <f>Sheet2!H148</f>
        <v>0.55985171237419074</v>
      </c>
      <c r="E147" s="11">
        <f>Sheet2!I148</f>
        <v>14.404022193345112</v>
      </c>
      <c r="F147">
        <f>Sheet2!L148</f>
        <v>3.42</v>
      </c>
      <c r="G147" s="11">
        <f>LN(Sheet2!M148)</f>
        <v>4.5728788888805036</v>
      </c>
    </row>
    <row r="148" spans="1:7" x14ac:dyDescent="0.75">
      <c r="A148" s="4">
        <v>44621</v>
      </c>
      <c r="B148" s="5">
        <f>LN(Sheet2!B149)</f>
        <v>9.5714358808046835</v>
      </c>
      <c r="C148">
        <f>Sheet2!E149</f>
        <v>-4.10927519</v>
      </c>
      <c r="D148" s="11">
        <f>Sheet2!H149</f>
        <v>0.53495730893567872</v>
      </c>
      <c r="E148" s="11">
        <f>Sheet2!I149</f>
        <v>14.390396245300266</v>
      </c>
      <c r="F148">
        <f>Sheet2!L149</f>
        <v>3.3</v>
      </c>
      <c r="G148" s="11">
        <f>LN(Sheet2!M149)</f>
        <v>4.6385334768853985</v>
      </c>
    </row>
    <row r="149" spans="1:7" x14ac:dyDescent="0.75">
      <c r="A149" s="4">
        <v>44652</v>
      </c>
      <c r="B149" s="5">
        <f>LN(Sheet2!B150)</f>
        <v>9.5762327049645233</v>
      </c>
      <c r="C149">
        <f>Sheet2!E150</f>
        <v>-3.56329144</v>
      </c>
      <c r="D149" s="11">
        <f>Sheet2!H150</f>
        <v>0.63229079645166397</v>
      </c>
      <c r="E149" s="11">
        <f>Sheet2!I150</f>
        <v>14.3708094931124</v>
      </c>
      <c r="F149">
        <f>Sheet2!L150</f>
        <v>3.17</v>
      </c>
      <c r="G149" s="11">
        <f>LN(Sheet2!M150)</f>
        <v>4.497485808231966</v>
      </c>
    </row>
    <row r="150" spans="1:7" x14ac:dyDescent="0.75">
      <c r="A150" s="4">
        <v>44682</v>
      </c>
      <c r="B150" s="5">
        <f>LN(Sheet2!B151)</f>
        <v>9.5849338164172604</v>
      </c>
      <c r="C150">
        <f>Sheet2!E151</f>
        <v>-3.4457126600000003</v>
      </c>
      <c r="D150" s="11">
        <f>Sheet2!H151</f>
        <v>0.57174397605898775</v>
      </c>
      <c r="E150" s="11">
        <f>Sheet2!I151</f>
        <v>14.354491066902426</v>
      </c>
      <c r="F150">
        <f>Sheet2!L151</f>
        <v>2.73</v>
      </c>
      <c r="G150" s="11">
        <f>LN(Sheet2!M151)</f>
        <v>4.648163494226913</v>
      </c>
    </row>
    <row r="151" spans="1:7" x14ac:dyDescent="0.75">
      <c r="A151" s="4">
        <v>44713</v>
      </c>
      <c r="B151" s="5">
        <f>LN(Sheet2!B152)</f>
        <v>9.6056204550259814</v>
      </c>
      <c r="C151">
        <f>Sheet2!E152</f>
        <v>-3.2740215000000004</v>
      </c>
      <c r="D151" s="11">
        <f>Sheet2!H152</f>
        <v>0.62555689591021035</v>
      </c>
      <c r="E151" s="11">
        <f>Sheet2!I152</f>
        <v>14.391672831778203</v>
      </c>
      <c r="F151">
        <f>Sheet2!L152</f>
        <v>2.29</v>
      </c>
      <c r="G151" s="11">
        <f>LN(Sheet2!M152)</f>
        <v>4.6690383120065162</v>
      </c>
    </row>
    <row r="152" spans="1:7" x14ac:dyDescent="0.75">
      <c r="A152" s="4">
        <v>44743</v>
      </c>
      <c r="B152" s="5">
        <f>LN(Sheet2!B153)</f>
        <v>9.6130015527516122</v>
      </c>
      <c r="C152">
        <f>Sheet2!E153</f>
        <v>-3.0446494499999996</v>
      </c>
      <c r="D152" s="11">
        <f>Sheet2!H153</f>
        <v>0.61137288950107704</v>
      </c>
      <c r="E152" s="11">
        <f>Sheet2!I153</f>
        <v>14.3553237859178</v>
      </c>
      <c r="F152">
        <f>Sheet2!L153</f>
        <v>1.82</v>
      </c>
      <c r="G152" s="11">
        <f>LN(Sheet2!M153)</f>
        <v>4.9472832857051721</v>
      </c>
    </row>
    <row r="153" spans="1:7" x14ac:dyDescent="0.75">
      <c r="A153" s="4">
        <v>44774</v>
      </c>
      <c r="B153" s="5">
        <f>LN(Sheet2!B154)</f>
        <v>9.6074375665482279</v>
      </c>
      <c r="C153">
        <f>Sheet2!E154</f>
        <v>-3.2498418699999996</v>
      </c>
      <c r="D153" s="11">
        <f>Sheet2!H154</f>
        <v>0.63644555740115261</v>
      </c>
      <c r="E153" s="11">
        <f>Sheet2!I154</f>
        <v>14.385019102252487</v>
      </c>
      <c r="F153">
        <f>Sheet2!L154</f>
        <v>1.42</v>
      </c>
      <c r="G153" s="11">
        <f>LN(Sheet2!M154)</f>
        <v>4.6534007733337566</v>
      </c>
    </row>
    <row r="154" spans="1:7" x14ac:dyDescent="0.75">
      <c r="A154" s="4">
        <v>44805</v>
      </c>
      <c r="B154" s="5">
        <f>LN(Sheet2!B155)</f>
        <v>9.6321380413719062</v>
      </c>
      <c r="C154">
        <f>Sheet2!E155</f>
        <v>-3.4147359800000001</v>
      </c>
      <c r="D154" s="11">
        <f>Sheet2!H155</f>
        <v>0.52313527051243991</v>
      </c>
      <c r="E154" s="11">
        <f>Sheet2!I155</f>
        <v>14.377038396764828</v>
      </c>
      <c r="F154">
        <f>Sheet2!L155</f>
        <v>1.69</v>
      </c>
      <c r="G154" s="11">
        <f>LN(Sheet2!M155)</f>
        <v>4.8527714664338815</v>
      </c>
    </row>
    <row r="155" spans="1:7" x14ac:dyDescent="0.75">
      <c r="A155" s="4">
        <v>44835</v>
      </c>
      <c r="B155" s="5">
        <f>LN(Sheet2!B156)</f>
        <v>9.6513013157691869</v>
      </c>
      <c r="C155">
        <f>Sheet2!E156</f>
        <v>-2.9849766899999999</v>
      </c>
      <c r="D155" s="11">
        <f>Sheet2!H156</f>
        <v>0.5146082664130297</v>
      </c>
      <c r="E155" s="11">
        <f>Sheet2!I156</f>
        <v>14.38307135768436</v>
      </c>
      <c r="F155">
        <f>Sheet2!L156</f>
        <v>1.67</v>
      </c>
      <c r="G155" s="11">
        <f>LN(Sheet2!M156)</f>
        <v>5.0321874016747001</v>
      </c>
    </row>
    <row r="156" spans="1:7" x14ac:dyDescent="0.75">
      <c r="A156" s="4">
        <v>44866</v>
      </c>
      <c r="B156" s="5">
        <f>LN(Sheet2!B157)</f>
        <v>9.663769906600864</v>
      </c>
      <c r="C156">
        <f>Sheet2!E157</f>
        <v>-2.67471105</v>
      </c>
      <c r="D156" s="11">
        <f>Sheet2!H157</f>
        <v>0.53266576908795549</v>
      </c>
      <c r="E156" s="11">
        <f>Sheet2!I157</f>
        <v>14.436900596387684</v>
      </c>
      <c r="F156">
        <f>Sheet2!L157</f>
        <v>1.4700000000000002</v>
      </c>
      <c r="G156" s="11">
        <f>LN(Sheet2!M157)</f>
        <v>4.7332423289897942</v>
      </c>
    </row>
    <row r="157" spans="1:7" x14ac:dyDescent="0.75">
      <c r="A157" s="4">
        <v>44896</v>
      </c>
      <c r="B157" s="5">
        <f>LN(Sheet2!B158)</f>
        <v>9.6633885668225048</v>
      </c>
      <c r="C157">
        <f>Sheet2!E158</f>
        <v>-2.3305114100000002</v>
      </c>
      <c r="D157" s="11">
        <f>Sheet2!H158</f>
        <v>0.49424962749767354</v>
      </c>
      <c r="E157" s="11">
        <f>Sheet2!I158</f>
        <v>14.456381166140423</v>
      </c>
      <c r="F157">
        <f>Sheet2!L158</f>
        <v>1.4000000000000004</v>
      </c>
      <c r="G157" s="11">
        <f>LN(Sheet2!M158)</f>
        <v>4.5936532104058569</v>
      </c>
    </row>
    <row r="158" spans="1:7" x14ac:dyDescent="0.75">
      <c r="A158" s="4">
        <v>44927</v>
      </c>
      <c r="B158" s="5">
        <f>LN(Sheet2!B159)</f>
        <v>9.6144044991687192</v>
      </c>
      <c r="C158">
        <f>Sheet2!E159</f>
        <v>-2.2725239799999999</v>
      </c>
      <c r="D158" s="11">
        <f>Sheet2!H159</f>
        <v>0.52347900787541957</v>
      </c>
      <c r="E158" s="11">
        <f>Sheet2!I159</f>
        <v>14.457130584161977</v>
      </c>
      <c r="F158">
        <f>Sheet2!L159</f>
        <v>1.42</v>
      </c>
      <c r="G158" s="11">
        <f>LN(Sheet2!M159)</f>
        <v>4.5020531115290785</v>
      </c>
    </row>
    <row r="159" spans="1:7" x14ac:dyDescent="0.75">
      <c r="A159" s="4">
        <v>44958</v>
      </c>
      <c r="B159" s="5">
        <f>LN(Sheet2!B160)</f>
        <v>9.6339073154483295</v>
      </c>
      <c r="C159">
        <f>Sheet2!E160</f>
        <v>-2.40728381</v>
      </c>
      <c r="D159" s="11">
        <f>Sheet2!H160</f>
        <v>0.47799677466851409</v>
      </c>
      <c r="E159" s="11">
        <f>Sheet2!I160</f>
        <v>14.471908025374287</v>
      </c>
      <c r="F159">
        <f>Sheet2!L160</f>
        <v>1.1799999999999997</v>
      </c>
      <c r="G159" s="11">
        <f>LN(Sheet2!M160)</f>
        <v>4.5049829325709245</v>
      </c>
    </row>
    <row r="160" spans="1:7" x14ac:dyDescent="0.75">
      <c r="A160" s="4">
        <v>44986</v>
      </c>
      <c r="B160" s="5">
        <f>LN(Sheet2!B161)</f>
        <v>9.6199302946612963</v>
      </c>
      <c r="C160">
        <f>Sheet2!E161</f>
        <v>-2.6231285600000001</v>
      </c>
      <c r="D160" s="11">
        <f>Sheet2!H161</f>
        <v>0.43471613807305159</v>
      </c>
      <c r="E160" s="11">
        <f>Sheet2!I161</f>
        <v>14.484729031446221</v>
      </c>
      <c r="F160">
        <f>Sheet2!L161</f>
        <v>1.0999999999999996</v>
      </c>
      <c r="G160" s="11">
        <f>LN(Sheet2!M161)</f>
        <v>4.6301478056801226</v>
      </c>
    </row>
    <row r="161" spans="1:7" x14ac:dyDescent="0.75">
      <c r="A161" s="4">
        <v>45017</v>
      </c>
      <c r="B161" s="5">
        <f>LN(Sheet2!B162)</f>
        <v>9.599066156080049</v>
      </c>
      <c r="C161">
        <f>Sheet2!E162</f>
        <v>-2.6820960199999999</v>
      </c>
      <c r="D161" s="11">
        <f>Sheet2!H162</f>
        <v>0.37898070515074894</v>
      </c>
      <c r="E161" s="11">
        <f>Sheet2!I162</f>
        <v>14.475008839584319</v>
      </c>
      <c r="F161">
        <f>Sheet2!L162</f>
        <v>0.91999999999999993</v>
      </c>
      <c r="G161" s="11">
        <f>LN(Sheet2!M162)</f>
        <v>4.5363912201931145</v>
      </c>
    </row>
    <row r="162" spans="1:7" x14ac:dyDescent="0.75">
      <c r="A162" s="4">
        <v>45047</v>
      </c>
      <c r="B162" s="5">
        <f>LN(Sheet2!B163)</f>
        <v>9.613736674915236</v>
      </c>
      <c r="C162">
        <f>Sheet2!E163</f>
        <v>-2.6763703000000003</v>
      </c>
      <c r="D162" s="11">
        <f>Sheet2!H163</f>
        <v>0.42963671390413899</v>
      </c>
      <c r="E162" s="11">
        <f>Sheet2!I163</f>
        <v>14.442697344604479</v>
      </c>
      <c r="F162">
        <f>Sheet2!L163</f>
        <v>0.69000000000000039</v>
      </c>
      <c r="G162" s="11">
        <f>LN(Sheet2!M163)</f>
        <v>4.5471195583870152</v>
      </c>
    </row>
    <row r="163" spans="1:7" x14ac:dyDescent="0.75">
      <c r="A163" s="4">
        <v>45078</v>
      </c>
      <c r="B163" s="5">
        <f>LN(Sheet2!B164)</f>
        <v>9.6175373129291053</v>
      </c>
      <c r="C163">
        <f>Sheet2!E164</f>
        <v>-2.2705404900000001</v>
      </c>
      <c r="D163" s="11">
        <f>Sheet2!H164</f>
        <v>0.44424409128897652</v>
      </c>
      <c r="E163" s="11">
        <f>Sheet2!I164</f>
        <v>14.422319281981922</v>
      </c>
      <c r="F163">
        <f>Sheet2!L164</f>
        <v>0.66999999999999993</v>
      </c>
      <c r="G163" s="11">
        <f>LN(Sheet2!M164)</f>
        <v>4.4512701565635782</v>
      </c>
    </row>
    <row r="164" spans="1:7" x14ac:dyDescent="0.75">
      <c r="A164" s="4">
        <v>45108</v>
      </c>
      <c r="B164" s="5">
        <f>LN(Sheet2!B165)</f>
        <v>9.6213235607682517</v>
      </c>
      <c r="C164">
        <f>Sheet2!E165</f>
        <v>-2.2708252799999999</v>
      </c>
      <c r="D164" s="11">
        <f>Sheet2!H165</f>
        <v>0.38316405512878948</v>
      </c>
      <c r="E164" s="11">
        <f>Sheet2!I165</f>
        <v>14.441882510354754</v>
      </c>
      <c r="F164">
        <f>Sheet2!L165</f>
        <v>0.62999999999999989</v>
      </c>
      <c r="G164" s="11">
        <f>LN(Sheet2!M165)</f>
        <v>4.4044152012594138</v>
      </c>
    </row>
    <row r="165" spans="1:7" x14ac:dyDescent="0.75">
      <c r="A165" s="4">
        <v>45139</v>
      </c>
      <c r="B165" s="5">
        <f>LN(Sheet2!B166)</f>
        <v>9.6316132102898599</v>
      </c>
      <c r="C165">
        <f>Sheet2!E166</f>
        <v>-2.2230587600000002</v>
      </c>
      <c r="D165" s="11">
        <f>Sheet2!H166</f>
        <v>0.44563424175698763</v>
      </c>
      <c r="E165" s="11">
        <f>Sheet2!I166</f>
        <v>14.430769272762792</v>
      </c>
      <c r="F165">
        <f>Sheet2!L166</f>
        <v>0.41999999999999993</v>
      </c>
      <c r="G165" s="11">
        <f>LN(Sheet2!M166)</f>
        <v>4.4189045135597143</v>
      </c>
    </row>
    <row r="166" spans="1:7" x14ac:dyDescent="0.75">
      <c r="A166" s="4">
        <v>45170</v>
      </c>
      <c r="B166" s="5">
        <f>LN(Sheet2!B167)</f>
        <v>9.6502713169656253</v>
      </c>
      <c r="C166">
        <f>Sheet2!E167</f>
        <v>-2.1309195900000004</v>
      </c>
      <c r="D166" s="11">
        <f>Sheet2!H167</f>
        <v>0.41298694616966719</v>
      </c>
      <c r="E166" s="11">
        <f>Sheet2!I167</f>
        <v>14.435301884305034</v>
      </c>
      <c r="F166">
        <f>Sheet2!L167</f>
        <v>0.41999999999999993</v>
      </c>
      <c r="G166" s="11">
        <f>LN(Sheet2!M167)</f>
        <v>4.425772920711383</v>
      </c>
    </row>
    <row r="167" spans="1:7" x14ac:dyDescent="0.75">
      <c r="A167" s="4">
        <v>45200</v>
      </c>
      <c r="B167" s="5">
        <f>LN(Sheet2!B168)</f>
        <v>9.6750801715468189</v>
      </c>
      <c r="C167">
        <f>Sheet2!E168</f>
        <v>-2.1140426000000003</v>
      </c>
      <c r="D167" s="11">
        <f>Sheet2!H168</f>
        <v>0.39357428137048767</v>
      </c>
      <c r="E167" s="11">
        <f>Sheet2!I168</f>
        <v>14.43128176935736</v>
      </c>
      <c r="F167">
        <f>Sheet2!L168</f>
        <v>0.66999999999999993</v>
      </c>
      <c r="G167" s="11">
        <f>LN(Sheet2!M168)</f>
        <v>4.589535877350249</v>
      </c>
    </row>
    <row r="168" spans="1:7" x14ac:dyDescent="0.75">
      <c r="A168" s="4">
        <v>45231</v>
      </c>
      <c r="B168" s="5">
        <f>LN(Sheet2!B169)</f>
        <v>9.6410832872686161</v>
      </c>
      <c r="C168">
        <f>Sheet2!E169</f>
        <v>-2.1435995399999994</v>
      </c>
      <c r="D168" s="11">
        <f>Sheet2!H169</f>
        <v>0.36950412733758409</v>
      </c>
      <c r="E168" s="11">
        <f>Sheet2!I169</f>
        <v>14.440280392919481</v>
      </c>
      <c r="F168">
        <f>Sheet2!L169</f>
        <v>0.66999999999999993</v>
      </c>
      <c r="G168" s="11">
        <f>LN(Sheet2!M169)</f>
        <v>4.3893435506367391</v>
      </c>
    </row>
    <row r="169" spans="1:7" x14ac:dyDescent="0.75">
      <c r="A169" s="4">
        <v>45261</v>
      </c>
      <c r="B169" s="5">
        <f>LN(Sheet2!B170)</f>
        <v>9.6431612100942026</v>
      </c>
      <c r="C169">
        <f>Sheet2!E170</f>
        <v>-2.11707058</v>
      </c>
      <c r="D169" s="11">
        <f>Sheet2!H170</f>
        <v>0.32517046013291712</v>
      </c>
      <c r="E169" s="11">
        <f>Sheet2!I170</f>
        <v>14.492111657998915</v>
      </c>
      <c r="F169">
        <f>Sheet2!L170</f>
        <v>0.66999999999999993</v>
      </c>
      <c r="G169" s="11">
        <f>LN(Sheet2!M170)</f>
        <v>4.287074069489254</v>
      </c>
    </row>
    <row r="170" spans="1:7" x14ac:dyDescent="0.75">
      <c r="A170" s="4">
        <v>45292</v>
      </c>
      <c r="B170" s="5">
        <f>LN(Sheet2!B171)</f>
        <v>9.6675120224065392</v>
      </c>
      <c r="C170">
        <f>Sheet2!E171</f>
        <v>-2.1739528400000001</v>
      </c>
      <c r="D170" s="11">
        <f>Sheet2!H171</f>
        <v>0.3976329153162434</v>
      </c>
      <c r="E170" s="11">
        <f>Sheet2!I171</f>
        <v>14.503644673082448</v>
      </c>
      <c r="F170">
        <f>Sheet2!L171</f>
        <v>0.66999999999999993</v>
      </c>
      <c r="G170" s="11">
        <f>LN(Sheet2!M171)</f>
        <v>4.317467823475396</v>
      </c>
    </row>
    <row r="171" spans="1:7" x14ac:dyDescent="0.75">
      <c r="A171" s="4">
        <v>45323</v>
      </c>
      <c r="B171" s="5">
        <f>LN(Sheet2!B172)</f>
        <v>9.6596947656540681</v>
      </c>
      <c r="C171">
        <f>Sheet2!E172</f>
        <v>-2.0798824900000001</v>
      </c>
      <c r="D171" s="11">
        <f>Sheet2!H172</f>
        <v>0.36005120474681235</v>
      </c>
      <c r="E171" s="11">
        <f>Sheet2!I172</f>
        <v>14.494659518505912</v>
      </c>
      <c r="F171">
        <f>Sheet2!L172</f>
        <v>0.66999999999999993</v>
      </c>
      <c r="G171" s="11">
        <f>LN(Sheet2!M172)</f>
        <v>4.2802305261583227</v>
      </c>
    </row>
    <row r="172" spans="1:7" x14ac:dyDescent="0.75">
      <c r="A172" s="4">
        <v>45352</v>
      </c>
      <c r="B172" s="5">
        <f>LN(Sheet2!B173)</f>
        <v>9.6711140358432282</v>
      </c>
      <c r="C172">
        <f>Sheet2!E173</f>
        <v>-2.0481907900000005</v>
      </c>
      <c r="D172" s="11">
        <f>Sheet2!H173</f>
        <v>0.3690608387654537</v>
      </c>
      <c r="E172" s="11">
        <f>Sheet2!I173</f>
        <v>14.473392104842597</v>
      </c>
      <c r="F172">
        <f>Sheet2!L173</f>
        <v>0.66999999999999993</v>
      </c>
      <c r="G172" s="11">
        <f>LN(Sheet2!M173)</f>
        <v>4.2519559136783398</v>
      </c>
    </row>
    <row r="173" spans="1:7" x14ac:dyDescent="0.75">
      <c r="A173" s="4">
        <v>45383</v>
      </c>
      <c r="B173" s="5">
        <f>LN(Sheet2!B174)</f>
        <v>9.6957866474027767</v>
      </c>
      <c r="C173">
        <f>Sheet2!E174</f>
        <v>-1.8033940400000001</v>
      </c>
      <c r="D173" s="11">
        <f>Sheet2!H174</f>
        <v>0.3334536941242473</v>
      </c>
      <c r="E173" s="11">
        <f>Sheet2!I174</f>
        <v>14.463942174933683</v>
      </c>
      <c r="F173">
        <f>Sheet2!L174</f>
        <v>0.91999999999999993</v>
      </c>
      <c r="G173" s="11">
        <f>LN(Sheet2!M174)</f>
        <v>4.3354357831968562</v>
      </c>
    </row>
    <row r="174" spans="1:7" x14ac:dyDescent="0.75">
      <c r="A174" s="4">
        <v>45413</v>
      </c>
      <c r="B174" s="5">
        <f>LN(Sheet2!B175)</f>
        <v>9.6960327861031761</v>
      </c>
      <c r="C174">
        <f>Sheet2!E175</f>
        <v>-1.4653169800000003</v>
      </c>
      <c r="D174" s="11">
        <f>Sheet2!H175</f>
        <v>0.37371659195988155</v>
      </c>
      <c r="E174" s="11">
        <f>Sheet2!I175</f>
        <v>14.448188580153968</v>
      </c>
      <c r="F174">
        <f>Sheet2!L175</f>
        <v>0.91999999999999993</v>
      </c>
      <c r="G174" s="11">
        <f>LN(Sheet2!M175)</f>
        <v>4.2742822411884989</v>
      </c>
    </row>
    <row r="175" spans="1:7" x14ac:dyDescent="0.75">
      <c r="A175" s="4">
        <v>45444</v>
      </c>
      <c r="B175" s="5">
        <f>LN(Sheet2!B176)</f>
        <v>9.7063162824918372</v>
      </c>
      <c r="C175">
        <f>Sheet2!E176</f>
        <v>-1.3681094900000002</v>
      </c>
      <c r="D175" s="11">
        <f>Sheet2!H176</f>
        <v>0.35375600344781299</v>
      </c>
      <c r="E175" s="11">
        <f>Sheet2!I176</f>
        <v>14.452617476143395</v>
      </c>
      <c r="F175">
        <f>Sheet2!L176</f>
        <v>0.91999999999999993</v>
      </c>
      <c r="G175" s="11">
        <f>LN(Sheet2!M176)</f>
        <v>4.3191500650628134</v>
      </c>
    </row>
    <row r="176" spans="1:7" x14ac:dyDescent="0.75">
      <c r="A176" s="4">
        <v>45474</v>
      </c>
      <c r="B176" s="5">
        <f>LN(Sheet2!B177)</f>
        <v>9.7001466285180982</v>
      </c>
      <c r="C176">
        <f>Sheet2!E177</f>
        <v>-1.2766834599999999</v>
      </c>
      <c r="D176" s="11">
        <f>Sheet2!H177</f>
        <v>0.36754064791299595</v>
      </c>
      <c r="E176" s="11">
        <f>Sheet2!I177</f>
        <v>14.440424936861003</v>
      </c>
      <c r="F176">
        <f>Sheet2!L177</f>
        <v>0.91999999999999993</v>
      </c>
      <c r="G176" s="11">
        <f>LN(Sheet2!M177)</f>
        <v>4.3043253413578331</v>
      </c>
    </row>
    <row r="177" spans="1:7" x14ac:dyDescent="0.75">
      <c r="A177" s="4">
        <v>45505</v>
      </c>
      <c r="B177" s="5">
        <f>LN(Sheet2!B178)</f>
        <v>9.6427070332818534</v>
      </c>
      <c r="C177">
        <f>Sheet2!E178</f>
        <v>-1.2659817799999997</v>
      </c>
      <c r="D177" s="11">
        <f>Sheet2!H178</f>
        <v>0.38825489061377172</v>
      </c>
      <c r="E177" s="11">
        <f>Sheet2!I178</f>
        <v>14.419220675754348</v>
      </c>
      <c r="F177">
        <f>Sheet2!L178</f>
        <v>0.91999999999999993</v>
      </c>
      <c r="G177" s="11">
        <f>LN(Sheet2!M178)</f>
        <v>4.2984084611943816</v>
      </c>
    </row>
    <row r="178" spans="1:7" x14ac:dyDescent="0.75">
      <c r="A178" s="4">
        <v>45536</v>
      </c>
      <c r="B178" s="5">
        <f>LN(Sheet2!B179)</f>
        <v>9.6249634178691128</v>
      </c>
      <c r="C178">
        <f>Sheet2!E179</f>
        <v>-1.1969965200000003</v>
      </c>
      <c r="D178" s="11">
        <f>Sheet2!H179</f>
        <v>0.35821924137845434</v>
      </c>
      <c r="E178" s="11">
        <f>Sheet2!I179</f>
        <v>14.431893002758931</v>
      </c>
      <c r="F178">
        <f>Sheet2!L179</f>
        <v>0.87000000000000011</v>
      </c>
      <c r="G178" s="11">
        <f>LN(Sheet2!M179)</f>
        <v>4.2382820399138685</v>
      </c>
    </row>
    <row r="179" spans="1:7" x14ac:dyDescent="0.75">
      <c r="A179" s="4">
        <v>45566</v>
      </c>
      <c r="B179" s="5">
        <f>LN(Sheet2!B180)</f>
        <v>9.6634521335517007</v>
      </c>
      <c r="C179">
        <f>Sheet2!E180</f>
        <v>-1.0887990300000001</v>
      </c>
      <c r="D179" s="11">
        <f>Sheet2!H180</f>
        <v>0.35497430284187498</v>
      </c>
      <c r="E179" s="11">
        <f>Sheet2!I180</f>
        <v>14.446860397716591</v>
      </c>
      <c r="F179">
        <f>Sheet2!L180</f>
        <v>1.17</v>
      </c>
      <c r="G179" s="11">
        <f>LN(Sheet2!M180)</f>
        <v>4.2330050790951868</v>
      </c>
    </row>
    <row r="180" spans="1:7" x14ac:dyDescent="0.75">
      <c r="A180" s="4">
        <v>45597</v>
      </c>
      <c r="B180" s="5">
        <f>LN(Sheet2!B181)</f>
        <v>9.6718076701996321</v>
      </c>
      <c r="C180">
        <f>Sheet2!E181</f>
        <v>-1.0302278</v>
      </c>
      <c r="D180" s="11">
        <f>Sheet2!H181</f>
        <v>0.36849470355797581</v>
      </c>
      <c r="E180" s="11">
        <f>Sheet2!I181</f>
        <v>14.450670807970832</v>
      </c>
      <c r="F180">
        <f>Sheet2!L181</f>
        <v>1.3600000000000003</v>
      </c>
      <c r="G180" s="11">
        <f>LN(Sheet2!M181)</f>
        <v>4.2854501772879203</v>
      </c>
    </row>
    <row r="181" spans="1:7" x14ac:dyDescent="0.75">
      <c r="A181" s="4">
        <v>45627</v>
      </c>
      <c r="B181" s="5">
        <f>LN(Sheet2!B182)</f>
        <v>9.6904180867933931</v>
      </c>
      <c r="C181">
        <f>Sheet2!E182</f>
        <v>-0.95163324000000005</v>
      </c>
      <c r="D181" s="11">
        <f>Sheet2!H182</f>
        <v>0.36294738393934989</v>
      </c>
      <c r="E181" s="11">
        <f>Sheet2!I182</f>
        <v>14.499970537321801</v>
      </c>
      <c r="F181">
        <f>Sheet2!L182</f>
        <v>1.5199999999999996</v>
      </c>
      <c r="G181" s="11">
        <f>LN(Sheet2!M182)</f>
        <v>4.3124030854554283</v>
      </c>
    </row>
    <row r="182" spans="1:7" x14ac:dyDescent="0.75">
      <c r="A182" s="4">
        <v>45658</v>
      </c>
      <c r="B182" s="5">
        <f>LN(Sheet2!B183)</f>
        <v>9.6964018805955554</v>
      </c>
      <c r="C182">
        <f>Sheet2!E183</f>
        <v>-0.91931602000000012</v>
      </c>
      <c r="D182" s="11">
        <f>Sheet2!H183</f>
        <v>0.4442103428271712</v>
      </c>
      <c r="E182" s="11">
        <f>Sheet2!I183</f>
        <v>14.527730258180199</v>
      </c>
      <c r="F182">
        <f>Sheet2!L183</f>
        <v>1.42</v>
      </c>
      <c r="G182" s="11">
        <f>LN(Sheet2!M183)</f>
        <v>4.3475218276129857</v>
      </c>
    </row>
    <row r="183" spans="1:7" x14ac:dyDescent="0.75">
      <c r="A183" s="4">
        <v>45689</v>
      </c>
      <c r="B183" s="5">
        <f>LN(Sheet2!B184)</f>
        <v>9.7069247691489426</v>
      </c>
      <c r="C183">
        <f>Sheet2!E184</f>
        <v>-0.66101942000000014</v>
      </c>
      <c r="D183" s="11">
        <f>Sheet2!H184</f>
        <v>0.3626355424909653</v>
      </c>
      <c r="E183" s="11">
        <f>Sheet2!I184</f>
        <v>14.535068724596552</v>
      </c>
      <c r="F183">
        <f>Sheet2!L184</f>
        <v>1.42</v>
      </c>
      <c r="G183" s="11">
        <f>LN(Sheet2!M184)</f>
        <v>4.3031342547029983</v>
      </c>
    </row>
    <row r="184" spans="1:7" x14ac:dyDescent="0.75">
      <c r="A184" s="4">
        <v>45717</v>
      </c>
      <c r="B184" s="5">
        <f>LN(Sheet2!B185)</f>
        <v>9.7164348213662723</v>
      </c>
      <c r="C184">
        <f>Sheet2!E185</f>
        <v>-0.32832445000000021</v>
      </c>
      <c r="D184" s="11">
        <f>Sheet2!H185</f>
        <v>0.40151201442510226</v>
      </c>
      <c r="E184" s="11">
        <f>Sheet2!I185</f>
        <v>14.531672333298136</v>
      </c>
      <c r="F184">
        <f>Sheet2!L185</f>
        <v>1.42</v>
      </c>
      <c r="G184" s="11">
        <f>LN(Sheet2!M185)</f>
        <v>4.4415559790217296</v>
      </c>
    </row>
    <row r="185" spans="1:7" x14ac:dyDescent="0.75">
      <c r="A185" s="4">
        <v>45748</v>
      </c>
      <c r="B185" s="5">
        <f>LN(Sheet2!B186)</f>
        <v>9.7283600563224137</v>
      </c>
      <c r="C185">
        <f>Sheet2!E186</f>
        <v>-0.27385466000000003</v>
      </c>
      <c r="D185" s="11">
        <f>Sheet2!H186</f>
        <v>0.43236997266904431</v>
      </c>
      <c r="E185" s="11">
        <f>Sheet2!I186</f>
        <v>14.498644488851705</v>
      </c>
      <c r="F185">
        <f>Sheet2!L186</f>
        <v>1.42</v>
      </c>
      <c r="G185" s="11">
        <f>LN(Sheet2!M186)</f>
        <v>4.6734272110488799</v>
      </c>
    </row>
    <row r="186" spans="1:7" x14ac:dyDescent="0.75">
      <c r="A186" s="4">
        <v>45778</v>
      </c>
      <c r="B186" s="5">
        <f>LN(Sheet2!B187)</f>
        <v>9.6961558327380057</v>
      </c>
      <c r="C186">
        <f>Sheet2!E187</f>
        <v>-0.36407229999999968</v>
      </c>
      <c r="D186" s="11">
        <f>Sheet2!H187</f>
        <v>0.41561596397748185</v>
      </c>
      <c r="E186" s="11">
        <f>Sheet2!I187</f>
        <v>14.486113265903196</v>
      </c>
      <c r="F186">
        <f>Sheet2!L187</f>
        <v>1.17</v>
      </c>
      <c r="G186" s="11">
        <f>LN(Sheet2!M187)</f>
        <v>4.4597723005714114</v>
      </c>
    </row>
    <row r="187" spans="1:7" x14ac:dyDescent="0.75">
      <c r="A187" s="4">
        <v>45809</v>
      </c>
      <c r="B187" s="5">
        <f>LN(Sheet2!B188)</f>
        <v>9.6948014863108458</v>
      </c>
      <c r="C187">
        <f>Sheet2!E188</f>
        <v>-0.54023102999999972</v>
      </c>
      <c r="D187" s="11">
        <f>Sheet2!H188</f>
        <v>0.42393709411687269</v>
      </c>
      <c r="E187" s="11">
        <f>Sheet2!I188</f>
        <v>14.490943619854805</v>
      </c>
      <c r="F187">
        <f>Sheet2!L188</f>
        <v>1.17</v>
      </c>
      <c r="G187" s="11">
        <f>LN(Sheet2!M188)</f>
        <v>4.3580613914148607</v>
      </c>
    </row>
    <row r="188" spans="1:7" x14ac:dyDescent="0.75">
      <c r="A188" s="4">
        <v>45839</v>
      </c>
      <c r="B188" s="5">
        <f>LN(Sheet2!B189)</f>
        <v>9.7042439216660892</v>
      </c>
      <c r="C188">
        <f>Sheet2!E189</f>
        <v>-0.73603818999999993</v>
      </c>
      <c r="D188" s="11">
        <f>Sheet2!H189</f>
        <v>0.4342402152660888</v>
      </c>
      <c r="E188" s="11">
        <f>Sheet2!I189</f>
        <v>14.510717166945003</v>
      </c>
      <c r="F188">
        <f>Sheet2!L189</f>
        <v>1.17</v>
      </c>
      <c r="G188" s="11">
        <f>LN(Sheet2!M189)</f>
        <v>4.302050727305387</v>
      </c>
    </row>
    <row r="189" spans="1:7" x14ac:dyDescent="0.75">
      <c r="A189" s="4">
        <v>45870</v>
      </c>
      <c r="B189" s="5">
        <f>LN(Sheet2!B190)</f>
        <v>9.702350081484532</v>
      </c>
      <c r="C189">
        <f>Sheet2!E190</f>
        <v>-0.9414304200000001</v>
      </c>
      <c r="D189" s="11">
        <f>Sheet2!H190</f>
        <v>0.36476830812935795</v>
      </c>
      <c r="E189" s="11">
        <f>Sheet2!I190</f>
        <v>14.521032185268512</v>
      </c>
      <c r="F189">
        <f>Sheet2!L190</f>
        <v>0.66999999999999993</v>
      </c>
      <c r="G189" s="11">
        <f>LN(Sheet2!M190)</f>
        <v>4.2526898337966701</v>
      </c>
    </row>
    <row r="190" spans="1:7" x14ac:dyDescent="0.75">
      <c r="A190" s="4">
        <v>45901</v>
      </c>
      <c r="B190" s="5">
        <f>LN(Sheet2!B191)</f>
        <v>9.7219656759127382</v>
      </c>
      <c r="C190">
        <f>Sheet2!E191</f>
        <v>-0.83402115999999982</v>
      </c>
      <c r="D190" s="11">
        <f>Sheet2!H191</f>
        <v>0.38054363494615429</v>
      </c>
      <c r="E190" s="11">
        <f>Sheet2!I191</f>
        <v>14.550442384107223</v>
      </c>
      <c r="F190">
        <f>Sheet2!L191</f>
        <v>0.53000000000000025</v>
      </c>
      <c r="G190" s="11">
        <f>LN(Sheet2!M191)</f>
        <v>4.3039274915999108</v>
      </c>
    </row>
    <row r="191" spans="1:7" x14ac:dyDescent="0.75">
      <c r="A191" s="4">
        <v>45931</v>
      </c>
      <c r="B191" s="5">
        <f>LN(Sheet2!B192)</f>
        <v>9.7195647143751991</v>
      </c>
      <c r="C191">
        <f>Sheet2!E192</f>
        <v>-0.44737526999999977</v>
      </c>
      <c r="D191" s="11">
        <f>Sheet2!H192</f>
        <v>0.3522660089844013</v>
      </c>
      <c r="E191" s="11">
        <f>Sheet2!I192</f>
        <v>14.545355748778924</v>
      </c>
      <c r="F191">
        <f>Sheet2!L192</f>
        <v>0.66000000000000014</v>
      </c>
      <c r="G191" s="11">
        <f>LN(Sheet2!M192)</f>
        <v>4.3722534892094114</v>
      </c>
    </row>
    <row r="192" spans="1:7" x14ac:dyDescent="0.75">
      <c r="A192" s="4">
        <v>45962</v>
      </c>
      <c r="B192" s="5">
        <f>LN(Sheet2!B193)</f>
        <v>9.7198050701028311</v>
      </c>
      <c r="C192">
        <f>Sheet2!E193</f>
        <v>-0.24095309000000009</v>
      </c>
      <c r="D192" s="11">
        <f>Sheet2!H193</f>
        <v>0.34623486743346454</v>
      </c>
      <c r="E192" s="11">
        <f>Sheet2!I193</f>
        <v>14.543405424127604</v>
      </c>
      <c r="F192">
        <f>Sheet2!L193</f>
        <v>0.87000000000000011</v>
      </c>
      <c r="G192" s="11">
        <f>LN(Sheet2!M193)</f>
        <v>4.3234463280704318</v>
      </c>
    </row>
    <row r="193" spans="1:7" x14ac:dyDescent="0.75">
      <c r="A193" s="4">
        <v>45992</v>
      </c>
      <c r="B193" s="5">
        <f>LN(Sheet2!B194)</f>
        <v>9.7280621624300139</v>
      </c>
      <c r="C193">
        <f>Sheet2!E194</f>
        <v>-0.26394559000000006</v>
      </c>
      <c r="D193" s="11">
        <f>Sheet2!H194</f>
        <v>0.35926165608612926</v>
      </c>
      <c r="E193" s="11">
        <f>Sheet2!I194</f>
        <v>14.585116986653663</v>
      </c>
      <c r="F193">
        <f>Sheet2!L194</f>
        <v>1.0299999999999998</v>
      </c>
      <c r="G193" s="11">
        <f>LN(Sheet2!M194)</f>
        <v>4.2643667571940886</v>
      </c>
    </row>
    <row r="194" spans="1:7" x14ac:dyDescent="0.75">
      <c r="A194" s="4">
        <v>46023</v>
      </c>
      <c r="B194" s="5">
        <f>LN(Sheet2!B195)</f>
        <v>9.728300484642773</v>
      </c>
      <c r="C194">
        <f>Sheet2!E195</f>
        <v>-6.1003220000000358E-2</v>
      </c>
      <c r="D194" s="11">
        <f>Sheet2!H195</f>
        <v>0.42500503486026187</v>
      </c>
      <c r="E194" s="11">
        <f>Sheet2!I195</f>
        <v>14.581624232764844</v>
      </c>
      <c r="F194">
        <f>Sheet2!L195</f>
        <v>1.1099999999999999</v>
      </c>
      <c r="G194" s="11">
        <f>LN(Sheet2!M195)</f>
        <v>4.2794545257738008</v>
      </c>
    </row>
    <row r="195" spans="1:7" x14ac:dyDescent="0.75">
      <c r="A195" s="4">
        <v>46054</v>
      </c>
      <c r="B195" s="5">
        <f>LN(Sheet2!B196)</f>
        <v>9.7266310351732326</v>
      </c>
      <c r="C195">
        <f>Sheet2!E196</f>
        <v>0.16135477999999992</v>
      </c>
      <c r="D195" s="11">
        <f>Sheet2!H196</f>
        <v>0.44716985532447973</v>
      </c>
      <c r="E195" s="11">
        <f>Sheet2!I196</f>
        <v>14.554431515348996</v>
      </c>
      <c r="F195">
        <f>Sheet2!L196</f>
        <v>1.1099999999999999</v>
      </c>
      <c r="G195" s="11">
        <f>LN(Sheet2!M196)</f>
        <v>4.38314288643301</v>
      </c>
    </row>
    <row r="196" spans="1:7" x14ac:dyDescent="0.75">
      <c r="A196" s="4">
        <v>46082</v>
      </c>
      <c r="B196" s="5">
        <f>LN(Sheet2!B197)</f>
        <v>9.7405567735341059</v>
      </c>
      <c r="C196">
        <f>Sheet2!E197</f>
        <v>-7.8154180000000295E-2</v>
      </c>
      <c r="D196" s="11">
        <f>Sheet2!H197</f>
        <v>0.37924138034691884</v>
      </c>
      <c r="E196" s="11">
        <f>Sheet2!I197</f>
        <v>14.558504648664705</v>
      </c>
      <c r="F196">
        <f>Sheet2!L197</f>
        <v>1.1099999999999999</v>
      </c>
      <c r="G196" s="11">
        <f>LN(Sheet2!M197)</f>
        <v>4.540920592803789</v>
      </c>
    </row>
    <row r="197" spans="1:7" x14ac:dyDescent="0.75">
      <c r="A197" s="4">
        <v>46113</v>
      </c>
      <c r="B197" s="5">
        <f>LN(Sheet2!B198)</f>
        <v>9.7598481023345176</v>
      </c>
      <c r="C197">
        <f>Sheet2!E198</f>
        <v>-0.35891465999999994</v>
      </c>
      <c r="D197" s="11">
        <f>Sheet2!H198</f>
        <v>0.4496749424406794</v>
      </c>
      <c r="E197" s="11">
        <f>Sheet2!I198</f>
        <v>14.53456574198389</v>
      </c>
      <c r="F197">
        <f>Sheet2!L198</f>
        <v>1.1099999999999999</v>
      </c>
      <c r="G197" s="11">
        <f>LN(Sheet2!M198)</f>
        <v>4.484802164405334</v>
      </c>
    </row>
    <row r="198" spans="1:7" x14ac:dyDescent="0.75">
      <c r="A198" s="4">
        <v>46143</v>
      </c>
      <c r="B198" s="5">
        <f>LN(Sheet2!B199)</f>
        <v>9.7863355677252706</v>
      </c>
      <c r="C198">
        <f>Sheet2!E199</f>
        <v>-0.31000000000000005</v>
      </c>
      <c r="D198" s="11">
        <f>Sheet2!H199</f>
        <v>0.46939781890250282</v>
      </c>
      <c r="E198" s="11">
        <f>Sheet2!I199</f>
        <v>14.536409496568682</v>
      </c>
      <c r="F198">
        <f>Sheet2!L199</f>
        <v>1.62</v>
      </c>
      <c r="G198" s="11">
        <f>LN(Sheet2!M199)</f>
        <v>4.4817921855607183</v>
      </c>
    </row>
    <row r="199" spans="1:7" x14ac:dyDescent="0.75">
      <c r="A199" s="4">
        <v>46174</v>
      </c>
      <c r="B199" s="5">
        <f>LN(Sheet2!B200)</f>
        <v>9.7960136942308953</v>
      </c>
      <c r="C199">
        <f>Sheet2!E200</f>
        <v>0.1599999999999997</v>
      </c>
      <c r="D199" s="11">
        <f>Sheet2!H200</f>
        <v>0.46683476220507975</v>
      </c>
      <c r="E199" s="11">
        <f>Sheet2!I200</f>
        <v>14.4581405582506</v>
      </c>
      <c r="F199">
        <f>Sheet2!L200</f>
        <v>2.12</v>
      </c>
      <c r="G199" s="11">
        <f>LN(Sheet2!M200)</f>
        <v>4.498364181670282</v>
      </c>
    </row>
    <row r="200" spans="1:7" x14ac:dyDescent="0.75">
      <c r="A200" s="4">
        <v>46204</v>
      </c>
      <c r="B200" s="5">
        <f>LN(Sheet2!B201)</f>
        <v>9.8013440788674249</v>
      </c>
      <c r="C200">
        <f>Sheet2!E201</f>
        <v>0.25999999999999979</v>
      </c>
      <c r="D200" s="11">
        <f>Sheet2!H201</f>
        <v>0.47543270640805013</v>
      </c>
      <c r="E200" s="11">
        <f>Sheet2!I201</f>
        <v>14.44803436908825</v>
      </c>
      <c r="F200">
        <f>Sheet2!L201</f>
        <v>2.12</v>
      </c>
      <c r="G200" s="11">
        <f>LN(Sheet2!M201)</f>
        <v>4.5364629879783003</v>
      </c>
    </row>
    <row r="201" spans="1:7" x14ac:dyDescent="0.75">
      <c r="A201" s="4">
        <v>46235</v>
      </c>
      <c r="B201" s="5">
        <f>LN(Sheet2!B202)</f>
        <v>9.7839154173952831</v>
      </c>
      <c r="C201">
        <f>Sheet2!E202</f>
        <v>0.52</v>
      </c>
      <c r="D201" s="11">
        <f>Sheet2!H202</f>
        <v>0.33605755450076197</v>
      </c>
      <c r="E201" s="11">
        <f>Sheet2!I202</f>
        <v>14.439324995182591</v>
      </c>
      <c r="F201">
        <f>Sheet2!L202</f>
        <v>2.12</v>
      </c>
      <c r="G201" s="11">
        <f>LN(Sheet2!M202)</f>
        <v>4.4375795937941307</v>
      </c>
    </row>
    <row r="202" spans="1:7" x14ac:dyDescent="0.75">
      <c r="A202" s="4">
        <v>46266</v>
      </c>
      <c r="B202" s="5">
        <f>LN(Sheet2!B203)</f>
        <v>9.7912702494150885</v>
      </c>
      <c r="C202">
        <f>Sheet2!E203</f>
        <v>0.60000000000000009</v>
      </c>
      <c r="D202" s="11">
        <f>Sheet2!H203</f>
        <v>0.52637803223245072</v>
      </c>
      <c r="E202" s="11">
        <f>Sheet2!I203</f>
        <v>14.447930308444844</v>
      </c>
      <c r="F202">
        <f>Sheet2!L203</f>
        <v>1.87</v>
      </c>
      <c r="G202" s="11">
        <f>LN(Sheet2!M203)</f>
        <v>4.512945241945574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9763-56A8-487F-AB71-E6EA9E15A0D1}">
  <dimension ref="A1:P203"/>
  <sheetViews>
    <sheetView workbookViewId="0">
      <pane xSplit="1" ySplit="2" topLeftCell="B188" activePane="bottomRight" state="frozen"/>
      <selection pane="topRight" activeCell="B1" sqref="B1"/>
      <selection pane="bottomLeft" activeCell="A3" sqref="A3"/>
      <selection pane="bottomRight" activeCell="M204" sqref="M204"/>
    </sheetView>
  </sheetViews>
  <sheetFormatPr defaultRowHeight="14.75" x14ac:dyDescent="0.75"/>
  <cols>
    <col min="2" max="2" width="9.7265625" style="1" bestFit="1" customWidth="1"/>
    <col min="3" max="4" width="9.54296875" customWidth="1"/>
    <col min="5" max="5" width="9.54296875" style="1" customWidth="1"/>
    <col min="6" max="6" width="10.1796875" bestFit="1" customWidth="1"/>
    <col min="7" max="7" width="10.453125" bestFit="1" customWidth="1"/>
    <col min="8" max="8" width="9.54296875" style="1" customWidth="1"/>
    <col min="9" max="9" width="8.7265625" style="1"/>
    <col min="12" max="13" width="8.7265625" style="1"/>
    <col min="15" max="15" width="9.76953125" bestFit="1" customWidth="1"/>
    <col min="16" max="16" width="9.7265625" bestFit="1" customWidth="1"/>
  </cols>
  <sheetData>
    <row r="1" spans="1:16" s="2" customFormat="1" x14ac:dyDescent="0.75">
      <c r="B1" s="3" t="s">
        <v>4</v>
      </c>
      <c r="C1" s="23" t="s">
        <v>5</v>
      </c>
      <c r="D1" s="23"/>
      <c r="E1" s="3" t="s">
        <v>8</v>
      </c>
      <c r="F1" s="2" t="s">
        <v>9</v>
      </c>
      <c r="G1" s="2" t="s">
        <v>10</v>
      </c>
      <c r="H1" s="3" t="s">
        <v>1</v>
      </c>
      <c r="I1" s="3" t="s">
        <v>2</v>
      </c>
      <c r="J1" s="2" t="s">
        <v>11</v>
      </c>
      <c r="K1" s="2" t="s">
        <v>12</v>
      </c>
      <c r="L1" s="3" t="s">
        <v>3</v>
      </c>
      <c r="M1" s="3" t="s">
        <v>36</v>
      </c>
      <c r="O1" s="2" t="s">
        <v>43</v>
      </c>
      <c r="P1" s="2" t="s">
        <v>4</v>
      </c>
    </row>
    <row r="2" spans="1:16" s="2" customFormat="1" x14ac:dyDescent="0.75">
      <c r="A2" s="2" t="s">
        <v>13</v>
      </c>
      <c r="B2" s="3"/>
      <c r="C2" s="2" t="s">
        <v>6</v>
      </c>
      <c r="D2" s="2" t="s">
        <v>7</v>
      </c>
      <c r="E2" s="3"/>
      <c r="H2" s="3"/>
      <c r="I2" s="3"/>
      <c r="L2" s="3"/>
      <c r="M2" s="3"/>
    </row>
    <row r="3" spans="1:16" x14ac:dyDescent="0.75">
      <c r="A3" s="4">
        <v>40179</v>
      </c>
      <c r="B3" s="7">
        <f>O3</f>
        <v>9365</v>
      </c>
      <c r="C3" s="5">
        <v>4.42884148</v>
      </c>
      <c r="D3" s="5">
        <v>1.51234</v>
      </c>
      <c r="E3" s="8">
        <f>C3-D3</f>
        <v>2.91650148</v>
      </c>
      <c r="F3" s="5">
        <f>Sheet3!D19/Sheet3!C19</f>
        <v>0.26518154930469545</v>
      </c>
      <c r="G3" s="5">
        <f>Sheet3!E19/Sheet3!F19</f>
        <v>0.86869502769666807</v>
      </c>
      <c r="H3" s="6">
        <f>F3/G3</f>
        <v>0.30526426519076594</v>
      </c>
      <c r="I3" s="6">
        <f>LN(Sheet3!B19)</f>
        <v>13.479959496930521</v>
      </c>
      <c r="J3" s="5">
        <v>6.5</v>
      </c>
      <c r="K3" s="5">
        <v>0.11</v>
      </c>
      <c r="L3" s="8">
        <f>J3-K3</f>
        <v>6.39</v>
      </c>
      <c r="M3" s="6">
        <v>191.34247619047619</v>
      </c>
      <c r="O3" s="21">
        <v>9365</v>
      </c>
      <c r="P3" s="21">
        <v>9285.6666666666661</v>
      </c>
    </row>
    <row r="4" spans="1:16" x14ac:dyDescent="0.75">
      <c r="A4" s="4">
        <v>40210</v>
      </c>
      <c r="B4" s="7">
        <f t="shared" ref="B4:B67" si="0">O4</f>
        <v>9335</v>
      </c>
      <c r="C4" s="5">
        <v>3.88054363</v>
      </c>
      <c r="D4" s="5">
        <v>1.34945</v>
      </c>
      <c r="E4" s="8">
        <f t="shared" ref="E4:E67" si="1">C4-D4</f>
        <v>2.53109363</v>
      </c>
      <c r="F4" s="5">
        <f>Sheet3!D20/Sheet3!C20</f>
        <v>0.32493193197964604</v>
      </c>
      <c r="G4" s="5">
        <f>Sheet3!E20/Sheet3!F20</f>
        <v>0.85152385561316701</v>
      </c>
      <c r="H4" s="6">
        <f t="shared" ref="H4:H67" si="2">F4/G4</f>
        <v>0.38158875977193663</v>
      </c>
      <c r="I4" s="6">
        <f>LN(Sheet3!B20)</f>
        <v>13.481848531002461</v>
      </c>
      <c r="J4" s="5">
        <v>6.5</v>
      </c>
      <c r="K4" s="5">
        <v>0.13</v>
      </c>
      <c r="L4" s="8">
        <f t="shared" ref="L4:L67" si="3">J4-K4</f>
        <v>6.37</v>
      </c>
      <c r="M4" s="6">
        <v>202.83085000000003</v>
      </c>
      <c r="O4" s="21">
        <v>9335</v>
      </c>
      <c r="P4" s="21">
        <v>9344.9</v>
      </c>
    </row>
    <row r="5" spans="1:16" x14ac:dyDescent="0.75">
      <c r="A5" s="4">
        <v>40238</v>
      </c>
      <c r="B5" s="7">
        <f t="shared" si="0"/>
        <v>9115</v>
      </c>
      <c r="C5" s="5">
        <v>3.55998576</v>
      </c>
      <c r="D5" s="5">
        <v>1.1592100000000001</v>
      </c>
      <c r="E5" s="8">
        <f t="shared" si="1"/>
        <v>2.4007757600000001</v>
      </c>
      <c r="F5" s="5">
        <f>Sheet3!D21/Sheet3!C21</f>
        <v>0.29842888734587197</v>
      </c>
      <c r="G5" s="5">
        <f>Sheet3!E21/Sheet3!F21</f>
        <v>0.81970255518291013</v>
      </c>
      <c r="H5" s="6">
        <f t="shared" si="2"/>
        <v>0.36406972926817327</v>
      </c>
      <c r="I5" s="6">
        <f>LN(Sheet3!B21)</f>
        <v>13.495570231159723</v>
      </c>
      <c r="J5" s="5">
        <v>6.5</v>
      </c>
      <c r="K5" s="5">
        <v>0.16</v>
      </c>
      <c r="L5" s="8">
        <f t="shared" si="3"/>
        <v>6.34</v>
      </c>
      <c r="M5" s="6">
        <v>163.08356521739125</v>
      </c>
      <c r="O5" s="21">
        <v>9115</v>
      </c>
      <c r="P5" s="21">
        <v>9167</v>
      </c>
    </row>
    <row r="6" spans="1:16" x14ac:dyDescent="0.75">
      <c r="A6" s="4">
        <v>40269</v>
      </c>
      <c r="B6" s="7">
        <f t="shared" si="0"/>
        <v>9012</v>
      </c>
      <c r="C6" s="5">
        <v>3.6951295499999999</v>
      </c>
      <c r="D6" s="5">
        <v>0.96750999999999998</v>
      </c>
      <c r="E6" s="8">
        <f t="shared" si="1"/>
        <v>2.72761955</v>
      </c>
      <c r="F6" s="5">
        <f>Sheet3!D22/Sheet3!C22</f>
        <v>0.32312632555300536</v>
      </c>
      <c r="G6" s="5">
        <f>Sheet3!E22/Sheet3!F22</f>
        <v>0.82971103223624487</v>
      </c>
      <c r="H6" s="6">
        <f t="shared" si="2"/>
        <v>0.38944441257109996</v>
      </c>
      <c r="I6" s="6">
        <f>LN(Sheet3!B22)</f>
        <v>13.559525337066386</v>
      </c>
      <c r="J6" s="5">
        <v>6.5</v>
      </c>
      <c r="K6" s="5">
        <v>0.2</v>
      </c>
      <c r="L6" s="8">
        <f t="shared" si="3"/>
        <v>6.3</v>
      </c>
      <c r="M6" s="6">
        <v>159.84154545454547</v>
      </c>
      <c r="O6" s="21">
        <v>9012</v>
      </c>
      <c r="P6" s="21">
        <v>9030.4090909090901</v>
      </c>
    </row>
    <row r="7" spans="1:16" x14ac:dyDescent="0.75">
      <c r="A7" s="4">
        <v>40299</v>
      </c>
      <c r="B7" s="7">
        <f t="shared" si="0"/>
        <v>9180</v>
      </c>
      <c r="C7" s="5">
        <v>3.8146896699999999</v>
      </c>
      <c r="D7" s="5">
        <v>0.94013999999999998</v>
      </c>
      <c r="E7" s="8">
        <f t="shared" si="1"/>
        <v>2.8745496699999999</v>
      </c>
      <c r="F7" s="5">
        <f>Sheet3!D23/Sheet3!C23</f>
        <v>0.32028025924127018</v>
      </c>
      <c r="G7" s="5">
        <f>Sheet3!E23/Sheet3!F23</f>
        <v>0.8579010075302681</v>
      </c>
      <c r="H7" s="6">
        <f t="shared" si="2"/>
        <v>0.3733300887048675</v>
      </c>
      <c r="I7" s="6">
        <f>LN(Sheet3!B23)</f>
        <v>13.506323243189616</v>
      </c>
      <c r="J7" s="5">
        <v>6.5</v>
      </c>
      <c r="K7" s="5">
        <v>0.2</v>
      </c>
      <c r="L7" s="8">
        <f t="shared" si="3"/>
        <v>6.3</v>
      </c>
      <c r="M7" s="6">
        <v>186.46042857142854</v>
      </c>
      <c r="O7" s="21">
        <v>9180</v>
      </c>
      <c r="P7" s="21">
        <v>9172.9047619047615</v>
      </c>
    </row>
    <row r="8" spans="1:16" x14ac:dyDescent="0.75">
      <c r="A8" s="4">
        <v>40330</v>
      </c>
      <c r="B8" s="7">
        <f t="shared" si="0"/>
        <v>9083</v>
      </c>
      <c r="C8" s="5">
        <v>3.9669861599999998</v>
      </c>
      <c r="D8" s="5">
        <v>0.95020000000000004</v>
      </c>
      <c r="E8" s="8">
        <f t="shared" si="1"/>
        <v>3.0167861599999997</v>
      </c>
      <c r="F8" s="5">
        <f>Sheet3!D24/Sheet3!C24</f>
        <v>0.30916140764969713</v>
      </c>
      <c r="G8" s="5">
        <f>Sheet3!E24/Sheet3!F24</f>
        <v>0.85135744634757926</v>
      </c>
      <c r="H8" s="6">
        <f t="shared" si="2"/>
        <v>0.36313937110203814</v>
      </c>
      <c r="I8" s="6">
        <f>LN(Sheet3!B24)</f>
        <v>13.53657401167195</v>
      </c>
      <c r="J8" s="5">
        <v>6.5</v>
      </c>
      <c r="K8" s="5">
        <v>0.18</v>
      </c>
      <c r="L8" s="8">
        <f t="shared" si="3"/>
        <v>6.32</v>
      </c>
      <c r="M8" s="6">
        <v>182.34554545454546</v>
      </c>
      <c r="O8" s="21">
        <v>9083</v>
      </c>
      <c r="P8" s="21">
        <v>9146.2727272727279</v>
      </c>
    </row>
    <row r="9" spans="1:16" x14ac:dyDescent="0.75">
      <c r="A9" s="4">
        <v>40360</v>
      </c>
      <c r="B9" s="7">
        <f t="shared" si="0"/>
        <v>8952</v>
      </c>
      <c r="C9" s="5">
        <v>4.1493408799999996</v>
      </c>
      <c r="D9" s="5">
        <v>0.95774999999999999</v>
      </c>
      <c r="E9" s="8">
        <f t="shared" si="1"/>
        <v>3.1915908799999997</v>
      </c>
      <c r="F9" s="5">
        <f>Sheet3!D25/Sheet3!C25</f>
        <v>0.3451726722105366</v>
      </c>
      <c r="G9" s="5">
        <f>Sheet3!E25/Sheet3!F25</f>
        <v>0.78229112950363933</v>
      </c>
      <c r="H9" s="6">
        <f t="shared" si="2"/>
        <v>0.44123301312332064</v>
      </c>
      <c r="I9" s="6">
        <f>LN(Sheet3!B25)</f>
        <v>13.543568308694219</v>
      </c>
      <c r="J9" s="5">
        <v>6.5</v>
      </c>
      <c r="K9" s="5">
        <v>0.18</v>
      </c>
      <c r="L9" s="8">
        <f t="shared" si="3"/>
        <v>6.32</v>
      </c>
      <c r="M9" s="6">
        <v>166.68695454545457</v>
      </c>
      <c r="O9" s="21">
        <v>8952</v>
      </c>
      <c r="P9" s="21">
        <v>9041.318181818182</v>
      </c>
    </row>
    <row r="10" spans="1:16" x14ac:dyDescent="0.75">
      <c r="A10" s="4">
        <v>40391</v>
      </c>
      <c r="B10" s="7">
        <f t="shared" si="0"/>
        <v>9041</v>
      </c>
      <c r="C10" s="5">
        <v>4.2371388300000001</v>
      </c>
      <c r="D10" s="5">
        <v>0.91710000000000003</v>
      </c>
      <c r="E10" s="8">
        <f t="shared" si="1"/>
        <v>3.3200388300000001</v>
      </c>
      <c r="F10" s="5">
        <f>Sheet3!D26/Sheet3!C26</f>
        <v>0.34672355438345348</v>
      </c>
      <c r="G10" s="5">
        <f>Sheet3!E26/Sheet3!F26</f>
        <v>0.79231023908113973</v>
      </c>
      <c r="H10" s="6">
        <f t="shared" si="2"/>
        <v>0.43761084646029147</v>
      </c>
      <c r="I10" s="6">
        <f>LN(Sheet3!B26)</f>
        <v>13.589089880232297</v>
      </c>
      <c r="J10" s="5">
        <v>6.5</v>
      </c>
      <c r="K10" s="5">
        <v>0.19</v>
      </c>
      <c r="L10" s="8">
        <f t="shared" si="3"/>
        <v>6.31</v>
      </c>
      <c r="M10" s="6">
        <v>152.44131818181816</v>
      </c>
      <c r="O10" s="21">
        <v>9041</v>
      </c>
      <c r="P10" s="21">
        <v>8972.4090909090901</v>
      </c>
    </row>
    <row r="11" spans="1:16" x14ac:dyDescent="0.75">
      <c r="A11" s="4">
        <v>40422</v>
      </c>
      <c r="B11" s="7">
        <f t="shared" si="0"/>
        <v>8924</v>
      </c>
      <c r="C11" s="5">
        <v>4.0199248399999998</v>
      </c>
      <c r="D11" s="5">
        <v>0.81438999999999995</v>
      </c>
      <c r="E11" s="8">
        <f t="shared" si="1"/>
        <v>3.2055348399999999</v>
      </c>
      <c r="F11" s="5">
        <f>Sheet3!D27/Sheet3!C27</f>
        <v>0.36698953296410913</v>
      </c>
      <c r="G11" s="5">
        <f>Sheet3!E27/Sheet3!F27</f>
        <v>0.74773309500829843</v>
      </c>
      <c r="H11" s="6">
        <f t="shared" si="2"/>
        <v>0.49080284852181943</v>
      </c>
      <c r="I11" s="6">
        <f>LN(Sheet3!B27)</f>
        <v>13.622509206643207</v>
      </c>
      <c r="J11" s="5">
        <v>6.5</v>
      </c>
      <c r="K11" s="5">
        <v>0.19</v>
      </c>
      <c r="L11" s="8">
        <f t="shared" si="3"/>
        <v>6.31</v>
      </c>
      <c r="M11" s="6">
        <v>149.64409090909092</v>
      </c>
      <c r="O11" s="21">
        <v>8924</v>
      </c>
      <c r="P11" s="21">
        <v>8974.181818181818</v>
      </c>
    </row>
    <row r="12" spans="1:16" x14ac:dyDescent="0.75">
      <c r="A12" s="4">
        <v>40452</v>
      </c>
      <c r="B12" s="7">
        <f t="shared" si="0"/>
        <v>8928</v>
      </c>
      <c r="C12" s="5">
        <v>4.1862899000000002</v>
      </c>
      <c r="D12" s="5">
        <v>0.60272000000000003</v>
      </c>
      <c r="E12" s="8">
        <f t="shared" si="1"/>
        <v>3.5835699000000001</v>
      </c>
      <c r="F12" s="5">
        <f>Sheet3!D28/Sheet3!C28</f>
        <v>0.38314511663064948</v>
      </c>
      <c r="G12" s="5">
        <f>Sheet3!E28/Sheet3!F28</f>
        <v>0.77445328771249367</v>
      </c>
      <c r="H12" s="6">
        <f t="shared" si="2"/>
        <v>0.49472979546945567</v>
      </c>
      <c r="I12" s="6">
        <f>LN(Sheet3!B28)</f>
        <v>13.659331337038049</v>
      </c>
      <c r="J12" s="5">
        <v>6.5</v>
      </c>
      <c r="K12" s="5">
        <v>0.19</v>
      </c>
      <c r="L12" s="8">
        <f t="shared" si="3"/>
        <v>6.31</v>
      </c>
      <c r="M12" s="6">
        <v>131.21904761904761</v>
      </c>
      <c r="O12" s="21">
        <v>8928</v>
      </c>
      <c r="P12" s="21">
        <v>8930.0476190476184</v>
      </c>
    </row>
    <row r="13" spans="1:16" x14ac:dyDescent="0.75">
      <c r="A13" s="4">
        <v>40483</v>
      </c>
      <c r="B13" s="7">
        <f t="shared" si="0"/>
        <v>9013</v>
      </c>
      <c r="C13" s="5">
        <v>4.3092191199999998</v>
      </c>
      <c r="D13" s="5">
        <v>0.67205999999999999</v>
      </c>
      <c r="E13" s="8">
        <f t="shared" si="1"/>
        <v>3.6371591199999997</v>
      </c>
      <c r="F13" s="5">
        <f>Sheet3!D29/Sheet3!C29</f>
        <v>0.32739221981932598</v>
      </c>
      <c r="G13" s="5">
        <f>Sheet3!E29/Sheet3!F29</f>
        <v>0.81065327423967526</v>
      </c>
      <c r="H13" s="6">
        <f t="shared" si="2"/>
        <v>0.40386220622669095</v>
      </c>
      <c r="I13" s="6">
        <f>LN(Sheet3!B29)</f>
        <v>13.649567254337187</v>
      </c>
      <c r="J13" s="5">
        <v>6.5</v>
      </c>
      <c r="K13" s="5">
        <v>0.19</v>
      </c>
      <c r="L13" s="8">
        <f t="shared" si="3"/>
        <v>6.31</v>
      </c>
      <c r="M13" s="6">
        <v>137.55540909090908</v>
      </c>
      <c r="O13" s="21">
        <v>9013</v>
      </c>
      <c r="P13" s="21">
        <v>8943.363636363636</v>
      </c>
    </row>
    <row r="14" spans="1:16" x14ac:dyDescent="0.75">
      <c r="A14" s="4">
        <v>40513</v>
      </c>
      <c r="B14" s="7">
        <f t="shared" si="0"/>
        <v>8991</v>
      </c>
      <c r="C14" s="5">
        <v>4.2833607899999997</v>
      </c>
      <c r="D14" s="5">
        <v>0.66188999999999998</v>
      </c>
      <c r="E14" s="8">
        <f t="shared" si="1"/>
        <v>3.6214707899999996</v>
      </c>
      <c r="F14" s="5">
        <f>Sheet3!D30/Sheet3!C30</f>
        <v>0.358010625173798</v>
      </c>
      <c r="G14" s="5">
        <f>Sheet3!E30/Sheet3!F30</f>
        <v>0.82206024857949134</v>
      </c>
      <c r="H14" s="6">
        <f t="shared" si="2"/>
        <v>0.43550412003552708</v>
      </c>
      <c r="I14" s="6">
        <f>LN(Sheet3!B30)</f>
        <v>13.670625146005275</v>
      </c>
      <c r="J14" s="5">
        <v>6.5</v>
      </c>
      <c r="K14" s="5">
        <v>0.18</v>
      </c>
      <c r="L14" s="8">
        <f t="shared" si="3"/>
        <v>6.32</v>
      </c>
      <c r="M14" s="6">
        <v>131.19230434782611</v>
      </c>
      <c r="O14" s="21">
        <v>8991</v>
      </c>
      <c r="P14" s="21">
        <v>9025</v>
      </c>
    </row>
    <row r="15" spans="1:16" x14ac:dyDescent="0.75">
      <c r="A15" s="4">
        <v>40544</v>
      </c>
      <c r="B15" s="7">
        <f t="shared" si="0"/>
        <v>9057</v>
      </c>
      <c r="C15" s="5">
        <v>4.1806740800000002</v>
      </c>
      <c r="D15" s="5">
        <v>0.98353000000000002</v>
      </c>
      <c r="E15" s="8">
        <f t="shared" si="1"/>
        <v>3.1971440800000002</v>
      </c>
      <c r="F15" s="5">
        <f>Sheet3!D31/Sheet3!C31</f>
        <v>0.33905724733566256</v>
      </c>
      <c r="G15" s="5">
        <f>Sheet3!E31/Sheet3!F31</f>
        <v>0.77572432454454865</v>
      </c>
      <c r="H15" s="6">
        <f t="shared" si="2"/>
        <v>0.43708471760858264</v>
      </c>
      <c r="I15" s="6">
        <f>LN(Sheet3!B31)</f>
        <v>13.661022261150814</v>
      </c>
      <c r="J15" s="5">
        <v>6.5</v>
      </c>
      <c r="K15" s="5">
        <v>0.17</v>
      </c>
      <c r="L15" s="8">
        <f t="shared" si="3"/>
        <v>6.33</v>
      </c>
      <c r="M15" s="6">
        <v>141.62828571428571</v>
      </c>
      <c r="O15" s="21">
        <v>9057</v>
      </c>
      <c r="P15" s="21">
        <v>9037.4761904761908</v>
      </c>
    </row>
    <row r="16" spans="1:16" x14ac:dyDescent="0.75">
      <c r="A16" s="4">
        <v>40575</v>
      </c>
      <c r="B16" s="7">
        <f t="shared" si="0"/>
        <v>8823</v>
      </c>
      <c r="C16" s="5">
        <v>4.3553107200000003</v>
      </c>
      <c r="D16" s="5">
        <v>1.1244499999999999</v>
      </c>
      <c r="E16" s="8">
        <f t="shared" si="1"/>
        <v>3.2308607200000004</v>
      </c>
      <c r="F16" s="5">
        <f>Sheet3!D32/Sheet3!C32</f>
        <v>0.36333016776664628</v>
      </c>
      <c r="G16" s="5">
        <f>Sheet3!E32/Sheet3!F32</f>
        <v>0.80396798372733291</v>
      </c>
      <c r="H16" s="6">
        <f t="shared" si="2"/>
        <v>0.45192118979935686</v>
      </c>
      <c r="I16" s="6">
        <f>LN(Sheet3!B32)</f>
        <v>13.693348234710427</v>
      </c>
      <c r="J16" s="5">
        <v>6.75</v>
      </c>
      <c r="K16" s="5">
        <v>0.16</v>
      </c>
      <c r="L16" s="8">
        <f t="shared" si="3"/>
        <v>6.59</v>
      </c>
      <c r="M16" s="6">
        <v>151.89179999999999</v>
      </c>
      <c r="O16" s="21">
        <v>8823</v>
      </c>
      <c r="P16" s="21">
        <v>8918.7999999999993</v>
      </c>
    </row>
    <row r="17" spans="1:16" x14ac:dyDescent="0.75">
      <c r="A17" s="4">
        <v>40603</v>
      </c>
      <c r="B17" s="7">
        <f t="shared" si="0"/>
        <v>8709</v>
      </c>
      <c r="C17" s="5">
        <v>4.4517016199999997</v>
      </c>
      <c r="D17" s="5">
        <v>1.2097899999999999</v>
      </c>
      <c r="E17" s="8">
        <f t="shared" si="1"/>
        <v>3.2419116199999998</v>
      </c>
      <c r="F17" s="5">
        <f>Sheet3!D33/Sheet3!C33</f>
        <v>0.37796349842817106</v>
      </c>
      <c r="G17" s="5">
        <f>Sheet3!E33/Sheet3!F33</f>
        <v>0.71355393029947978</v>
      </c>
      <c r="H17" s="6">
        <f t="shared" si="2"/>
        <v>0.52969156552685392</v>
      </c>
      <c r="I17" s="6">
        <f>LN(Sheet3!B33)</f>
        <v>13.722725505341133</v>
      </c>
      <c r="J17" s="5">
        <v>6.75</v>
      </c>
      <c r="K17" s="5">
        <v>0.14000000000000001</v>
      </c>
      <c r="L17" s="8">
        <f t="shared" si="3"/>
        <v>6.61</v>
      </c>
      <c r="M17" s="6">
        <v>145.0194347826087</v>
      </c>
      <c r="O17" s="21">
        <v>8709</v>
      </c>
      <c r="P17" s="21">
        <v>8762.217391304348</v>
      </c>
    </row>
    <row r="18" spans="1:16" x14ac:dyDescent="0.75">
      <c r="A18" s="4">
        <v>40634</v>
      </c>
      <c r="B18" s="7">
        <f t="shared" si="0"/>
        <v>8574</v>
      </c>
      <c r="C18" s="5">
        <v>4.6196118799999999</v>
      </c>
      <c r="D18" s="5">
        <v>1.3155399999999999</v>
      </c>
      <c r="E18" s="8">
        <f t="shared" si="1"/>
        <v>3.30407188</v>
      </c>
      <c r="F18" s="5">
        <f>Sheet3!D34/Sheet3!C34</f>
        <v>0.39317065984332278</v>
      </c>
      <c r="G18" s="5">
        <f>Sheet3!E34/Sheet3!F34</f>
        <v>0.75207179154308734</v>
      </c>
      <c r="H18" s="6">
        <f t="shared" si="2"/>
        <v>0.52278341544578122</v>
      </c>
      <c r="I18" s="6">
        <f>LN(Sheet3!B34)</f>
        <v>13.771832864815298</v>
      </c>
      <c r="J18" s="5">
        <v>6.75</v>
      </c>
      <c r="K18" s="5">
        <v>0.1</v>
      </c>
      <c r="L18" s="8">
        <f t="shared" si="3"/>
        <v>6.65</v>
      </c>
      <c r="M18" s="6">
        <v>139.65299999999999</v>
      </c>
      <c r="O18" s="21">
        <v>8574</v>
      </c>
      <c r="P18" s="21">
        <v>8650.5238095238092</v>
      </c>
    </row>
    <row r="19" spans="1:16" x14ac:dyDescent="0.75">
      <c r="A19" s="4">
        <v>40664</v>
      </c>
      <c r="B19" s="7">
        <f t="shared" si="0"/>
        <v>8537</v>
      </c>
      <c r="C19" s="5">
        <v>4.64239829</v>
      </c>
      <c r="D19" s="5">
        <v>1.4540999999999999</v>
      </c>
      <c r="E19" s="8">
        <f t="shared" si="1"/>
        <v>3.1882982900000001</v>
      </c>
      <c r="F19" s="5">
        <f>Sheet3!D35/Sheet3!C35</f>
        <v>0.34967441976350944</v>
      </c>
      <c r="G19" s="5">
        <f>Sheet3!E35/Sheet3!F35</f>
        <v>0.74254948339483196</v>
      </c>
      <c r="H19" s="6">
        <f t="shared" si="2"/>
        <v>0.4709105959711225</v>
      </c>
      <c r="I19" s="6">
        <f>LN(Sheet3!B35)</f>
        <v>13.786384173216808</v>
      </c>
      <c r="J19" s="5">
        <v>6.75</v>
      </c>
      <c r="K19" s="5">
        <v>0.09</v>
      </c>
      <c r="L19" s="8">
        <f t="shared" si="3"/>
        <v>6.66</v>
      </c>
      <c r="M19" s="6">
        <v>134.52895454545455</v>
      </c>
      <c r="O19" s="21">
        <v>8537</v>
      </c>
      <c r="P19" s="21">
        <v>8560.318181818182</v>
      </c>
    </row>
    <row r="20" spans="1:16" x14ac:dyDescent="0.75">
      <c r="A20" s="4">
        <v>40695</v>
      </c>
      <c r="B20" s="7">
        <f t="shared" si="0"/>
        <v>8597</v>
      </c>
      <c r="C20" s="5">
        <v>4.6265471600000003</v>
      </c>
      <c r="D20" s="5">
        <v>1.58368</v>
      </c>
      <c r="E20" s="8">
        <f t="shared" si="1"/>
        <v>3.0428671600000001</v>
      </c>
      <c r="F20" s="5">
        <f>Sheet3!D36/Sheet3!C36</f>
        <v>0.36523948048777916</v>
      </c>
      <c r="G20" s="5">
        <f>Sheet3!E36/Sheet3!F36</f>
        <v>0.74048335958024358</v>
      </c>
      <c r="H20" s="6">
        <f t="shared" si="2"/>
        <v>0.4932446837087896</v>
      </c>
      <c r="I20" s="6">
        <f>LN(Sheet3!B36)</f>
        <v>13.785641969844038</v>
      </c>
      <c r="J20" s="5">
        <v>6.75</v>
      </c>
      <c r="K20" s="5">
        <v>0.09</v>
      </c>
      <c r="L20" s="8">
        <f t="shared" si="3"/>
        <v>6.66</v>
      </c>
      <c r="M20" s="6">
        <v>138.42363636363635</v>
      </c>
      <c r="O20" s="21">
        <v>8597</v>
      </c>
      <c r="P20" s="21">
        <v>8565.4090909090901</v>
      </c>
    </row>
    <row r="21" spans="1:16" x14ac:dyDescent="0.75">
      <c r="A21" s="4">
        <v>40725</v>
      </c>
      <c r="B21" s="7">
        <f t="shared" si="0"/>
        <v>8508</v>
      </c>
      <c r="C21" s="5">
        <v>4.5531770299999996</v>
      </c>
      <c r="D21" s="5">
        <v>1.7414799999999999</v>
      </c>
      <c r="E21" s="8">
        <f t="shared" si="1"/>
        <v>2.8116970299999995</v>
      </c>
      <c r="F21" s="5">
        <f>Sheet3!D37/Sheet3!C37</f>
        <v>0.34513851553327829</v>
      </c>
      <c r="G21" s="5">
        <f>Sheet3!E37/Sheet3!F37</f>
        <v>0.72598903794742808</v>
      </c>
      <c r="H21" s="6">
        <f t="shared" si="2"/>
        <v>0.47540458256653623</v>
      </c>
      <c r="I21" s="6">
        <f>LN(Sheet3!B37)</f>
        <v>13.788114222106012</v>
      </c>
      <c r="J21" s="5">
        <v>6.75</v>
      </c>
      <c r="K21" s="5">
        <v>7.0000000000000007E-2</v>
      </c>
      <c r="L21" s="8">
        <f t="shared" si="3"/>
        <v>6.68</v>
      </c>
      <c r="M21" s="6">
        <v>137.48757142857144</v>
      </c>
      <c r="O21" s="21">
        <v>8508</v>
      </c>
      <c r="P21" s="21">
        <v>8530.7619047619046</v>
      </c>
    </row>
    <row r="22" spans="1:16" x14ac:dyDescent="0.75">
      <c r="A22" s="4">
        <v>40756</v>
      </c>
      <c r="B22" s="7">
        <f t="shared" si="0"/>
        <v>8578</v>
      </c>
      <c r="C22" s="5">
        <v>5.1466238500000001</v>
      </c>
      <c r="D22" s="5">
        <v>1.96516</v>
      </c>
      <c r="E22" s="8">
        <f t="shared" si="1"/>
        <v>3.1814638500000001</v>
      </c>
      <c r="F22" s="5">
        <f>Sheet3!D38/Sheet3!C38</f>
        <v>0.3826779138103556</v>
      </c>
      <c r="G22" s="5">
        <f>Sheet3!E38/Sheet3!F38</f>
        <v>0.73111086197035691</v>
      </c>
      <c r="H22" s="6">
        <f t="shared" si="2"/>
        <v>0.52341981731612053</v>
      </c>
      <c r="I22" s="6">
        <f>LN(Sheet3!B38)</f>
        <v>13.792811195779775</v>
      </c>
      <c r="J22" s="5">
        <v>6.75</v>
      </c>
      <c r="K22" s="5">
        <v>0.1</v>
      </c>
      <c r="L22" s="8">
        <f t="shared" si="3"/>
        <v>6.65</v>
      </c>
      <c r="M22" s="6">
        <v>159.51395652173909</v>
      </c>
      <c r="O22" s="21">
        <v>8578</v>
      </c>
      <c r="P22" s="21">
        <v>8529.173913043478</v>
      </c>
    </row>
    <row r="23" spans="1:16" x14ac:dyDescent="0.75">
      <c r="A23" s="4">
        <v>40787</v>
      </c>
      <c r="B23" s="7">
        <f t="shared" si="0"/>
        <v>8823</v>
      </c>
      <c r="C23" s="5">
        <v>4.9315298700000003</v>
      </c>
      <c r="D23" s="5">
        <v>1.9877199999999999</v>
      </c>
      <c r="E23" s="8">
        <f t="shared" si="1"/>
        <v>2.9438098700000004</v>
      </c>
      <c r="F23" s="5">
        <f>Sheet3!D39/Sheet3!C39</f>
        <v>0.35314252975228694</v>
      </c>
      <c r="G23" s="5">
        <f>Sheet3!E39/Sheet3!F39</f>
        <v>0.6624245305207821</v>
      </c>
      <c r="H23" s="6">
        <f t="shared" si="2"/>
        <v>0.53310605734158856</v>
      </c>
      <c r="I23" s="6">
        <f>LN(Sheet3!B39)</f>
        <v>13.730934224756751</v>
      </c>
      <c r="J23" s="5">
        <v>6.75</v>
      </c>
      <c r="K23" s="5">
        <v>0.08</v>
      </c>
      <c r="L23" s="8">
        <f t="shared" si="3"/>
        <v>6.67</v>
      </c>
      <c r="M23" s="6">
        <v>212.14381818181812</v>
      </c>
      <c r="O23" s="21">
        <v>8823</v>
      </c>
      <c r="P23" s="21">
        <v>8729.454545454546</v>
      </c>
    </row>
    <row r="24" spans="1:16" x14ac:dyDescent="0.75">
      <c r="A24" s="4">
        <v>40817</v>
      </c>
      <c r="B24" s="7">
        <f t="shared" si="0"/>
        <v>8835</v>
      </c>
      <c r="C24" s="5">
        <v>4.4282605100000003</v>
      </c>
      <c r="D24" s="5">
        <v>2.10792</v>
      </c>
      <c r="E24" s="8">
        <f t="shared" si="1"/>
        <v>2.3203405100000003</v>
      </c>
      <c r="F24" s="5">
        <f>Sheet3!D40/Sheet3!C40</f>
        <v>0.32264483103332436</v>
      </c>
      <c r="G24" s="5">
        <f>Sheet3!E40/Sheet3!F40</f>
        <v>0.67027386019802493</v>
      </c>
      <c r="H24" s="6">
        <f t="shared" si="2"/>
        <v>0.4813626939561727</v>
      </c>
      <c r="I24" s="6">
        <f>LN(Sheet3!B40)</f>
        <v>13.724495617398494</v>
      </c>
      <c r="J24" s="5">
        <v>6.5</v>
      </c>
      <c r="K24" s="5">
        <v>7.0000000000000007E-2</v>
      </c>
      <c r="L24" s="8">
        <f t="shared" si="3"/>
        <v>6.43</v>
      </c>
      <c r="M24" s="6">
        <v>245.83776190476189</v>
      </c>
      <c r="O24" s="21">
        <v>8835</v>
      </c>
      <c r="P24" s="21">
        <v>8865.3333333333339</v>
      </c>
    </row>
    <row r="25" spans="1:16" x14ac:dyDescent="0.75">
      <c r="A25" s="4">
        <v>40848</v>
      </c>
      <c r="B25" s="7">
        <f t="shared" si="0"/>
        <v>9170</v>
      </c>
      <c r="C25" s="5">
        <v>4.4399933200000001</v>
      </c>
      <c r="D25" s="5">
        <v>2.1381999999999999</v>
      </c>
      <c r="E25" s="8">
        <f t="shared" si="1"/>
        <v>2.3017933200000003</v>
      </c>
      <c r="F25" s="5">
        <f>Sheet3!D41/Sheet3!C41</f>
        <v>0.30854751569096489</v>
      </c>
      <c r="G25" s="5">
        <f>Sheet3!E41/Sheet3!F41</f>
        <v>0.69542815718053785</v>
      </c>
      <c r="H25" s="6">
        <f t="shared" si="2"/>
        <v>0.44367992941485668</v>
      </c>
      <c r="I25" s="6">
        <f>LN(Sheet3!B41)</f>
        <v>13.753282049358802</v>
      </c>
      <c r="J25" s="5">
        <v>6</v>
      </c>
      <c r="K25" s="5">
        <v>0.08</v>
      </c>
      <c r="L25" s="8">
        <f t="shared" si="3"/>
        <v>5.92</v>
      </c>
      <c r="M25" s="6">
        <v>218.20772727272725</v>
      </c>
      <c r="O25" s="21">
        <v>9170</v>
      </c>
      <c r="P25" s="21">
        <v>9005</v>
      </c>
    </row>
    <row r="26" spans="1:16" x14ac:dyDescent="0.75">
      <c r="A26" s="4">
        <v>40878</v>
      </c>
      <c r="B26" s="7">
        <f t="shared" si="0"/>
        <v>9068</v>
      </c>
      <c r="C26" s="5">
        <v>4.3402344700000004</v>
      </c>
      <c r="D26" s="5">
        <v>2.2766600000000001</v>
      </c>
      <c r="E26" s="8">
        <f t="shared" si="1"/>
        <v>2.0635744700000003</v>
      </c>
      <c r="F26" s="5">
        <f>Sheet3!D42/Sheet3!C42</f>
        <v>0.3155189151479898</v>
      </c>
      <c r="G26" s="5">
        <f>Sheet3!E42/Sheet3!F42</f>
        <v>0.69049585209725839</v>
      </c>
      <c r="H26" s="6">
        <f t="shared" si="2"/>
        <v>0.45694541710809294</v>
      </c>
      <c r="I26" s="6">
        <f>LN(Sheet3!B42)</f>
        <v>13.723586226700091</v>
      </c>
      <c r="J26" s="5">
        <v>6</v>
      </c>
      <c r="K26" s="5">
        <v>7.0000000000000007E-2</v>
      </c>
      <c r="L26" s="8">
        <f t="shared" si="3"/>
        <v>5.93</v>
      </c>
      <c r="M26" s="6">
        <v>208.92922727272725</v>
      </c>
      <c r="O26" s="21">
        <v>9068</v>
      </c>
      <c r="P26" s="21">
        <v>9067.0909090909099</v>
      </c>
    </row>
    <row r="27" spans="1:16" x14ac:dyDescent="0.75">
      <c r="A27" s="4">
        <v>40909</v>
      </c>
      <c r="B27" s="7">
        <f t="shared" si="0"/>
        <v>9000</v>
      </c>
      <c r="C27" s="5">
        <v>4.28595069</v>
      </c>
      <c r="D27" s="5">
        <v>2.2773500000000002</v>
      </c>
      <c r="E27" s="8">
        <f t="shared" si="1"/>
        <v>2.0086006899999997</v>
      </c>
      <c r="F27" s="5">
        <f>Sheet3!D43/Sheet3!C43</f>
        <v>0.33766459638224311</v>
      </c>
      <c r="G27" s="5">
        <f>Sheet3!E43/Sheet3!F43</f>
        <v>0.66443605244327808</v>
      </c>
      <c r="H27" s="6">
        <f t="shared" si="2"/>
        <v>0.50819728270399511</v>
      </c>
      <c r="I27" s="6">
        <f>LN(Sheet3!B43)</f>
        <v>13.747351581547306</v>
      </c>
      <c r="J27" s="5">
        <v>6</v>
      </c>
      <c r="K27" s="5">
        <v>0.08</v>
      </c>
      <c r="L27" s="8">
        <f t="shared" si="3"/>
        <v>5.92</v>
      </c>
      <c r="M27" s="6">
        <v>203.43472727272726</v>
      </c>
      <c r="O27" s="21">
        <v>9000</v>
      </c>
      <c r="P27" s="21">
        <v>9066.863636363636</v>
      </c>
    </row>
    <row r="28" spans="1:16" x14ac:dyDescent="0.75">
      <c r="A28" s="4">
        <v>40940</v>
      </c>
      <c r="B28" s="7">
        <f t="shared" si="0"/>
        <v>9085</v>
      </c>
      <c r="C28" s="5">
        <v>4.3055097299999998</v>
      </c>
      <c r="D28" s="5">
        <v>2.1598199999999999</v>
      </c>
      <c r="E28" s="8">
        <f t="shared" si="1"/>
        <v>2.14568973</v>
      </c>
      <c r="F28" s="5">
        <f>Sheet3!D44/Sheet3!C44</f>
        <v>0.33530576977628612</v>
      </c>
      <c r="G28" s="5">
        <f>Sheet3!E44/Sheet3!F44</f>
        <v>0.74267353959217886</v>
      </c>
      <c r="H28" s="6">
        <f t="shared" si="2"/>
        <v>0.45148473979618442</v>
      </c>
      <c r="I28" s="6">
        <f>LN(Sheet3!B44)</f>
        <v>13.755879973179285</v>
      </c>
      <c r="J28" s="5">
        <v>5.75</v>
      </c>
      <c r="K28" s="5">
        <v>0.1</v>
      </c>
      <c r="L28" s="8">
        <f t="shared" si="3"/>
        <v>5.65</v>
      </c>
      <c r="M28" s="6">
        <v>162.49876190476192</v>
      </c>
      <c r="O28" s="21">
        <v>9085</v>
      </c>
      <c r="P28" s="21">
        <v>9035.6666666666661</v>
      </c>
    </row>
    <row r="29" spans="1:16" x14ac:dyDescent="0.75">
      <c r="A29" s="4">
        <v>40969</v>
      </c>
      <c r="B29" s="7">
        <f t="shared" si="0"/>
        <v>9180</v>
      </c>
      <c r="C29" s="5">
        <v>4.2537436199999998</v>
      </c>
      <c r="D29" s="5">
        <v>2.2483399999999998</v>
      </c>
      <c r="E29" s="8">
        <f t="shared" si="1"/>
        <v>2.0054036200000001</v>
      </c>
      <c r="F29" s="5">
        <f>Sheet3!D45/Sheet3!C45</f>
        <v>0.30452290663920351</v>
      </c>
      <c r="G29" s="5">
        <f>Sheet3!E45/Sheet3!F45</f>
        <v>0.68816707890190321</v>
      </c>
      <c r="H29" s="6">
        <f t="shared" si="2"/>
        <v>0.44251304076493408</v>
      </c>
      <c r="I29" s="6">
        <f>LN(Sheet3!B45)</f>
        <v>13.738759310819848</v>
      </c>
      <c r="J29" s="5">
        <v>5.75</v>
      </c>
      <c r="K29" s="5">
        <v>0.13</v>
      </c>
      <c r="L29" s="8">
        <f t="shared" si="3"/>
        <v>5.62</v>
      </c>
      <c r="M29" s="6">
        <v>160.37854545454545</v>
      </c>
      <c r="O29" s="21">
        <v>9180</v>
      </c>
      <c r="P29" s="21">
        <v>9158.045454545454</v>
      </c>
    </row>
    <row r="30" spans="1:16" x14ac:dyDescent="0.75">
      <c r="A30" s="4">
        <v>41000</v>
      </c>
      <c r="B30" s="7">
        <f t="shared" si="0"/>
        <v>9190</v>
      </c>
      <c r="C30" s="5">
        <v>4.2350623799999996</v>
      </c>
      <c r="D30" s="5">
        <v>2.3144300000000002</v>
      </c>
      <c r="E30" s="8">
        <f t="shared" si="1"/>
        <v>1.9206323799999994</v>
      </c>
      <c r="F30" s="5">
        <f>Sheet3!D46/Sheet3!C46</f>
        <v>0.28381613958987945</v>
      </c>
      <c r="G30" s="5">
        <f>Sheet3!E46/Sheet3!F46</f>
        <v>0.68364298755168806</v>
      </c>
      <c r="H30" s="6">
        <f t="shared" si="2"/>
        <v>0.4151525646541076</v>
      </c>
      <c r="I30" s="6">
        <f>LN(Sheet3!B46)</f>
        <v>13.778186687866187</v>
      </c>
      <c r="J30" s="5">
        <v>5.75</v>
      </c>
      <c r="K30" s="5">
        <v>0.14000000000000001</v>
      </c>
      <c r="L30" s="8">
        <f t="shared" si="3"/>
        <v>5.61</v>
      </c>
      <c r="M30" s="6">
        <v>170.10085714285717</v>
      </c>
      <c r="O30" s="21">
        <v>9190</v>
      </c>
      <c r="P30" s="21">
        <v>9175</v>
      </c>
    </row>
    <row r="31" spans="1:16" x14ac:dyDescent="0.75">
      <c r="A31" s="4">
        <v>41030</v>
      </c>
      <c r="B31" s="7">
        <f t="shared" si="0"/>
        <v>9565</v>
      </c>
      <c r="C31" s="5">
        <v>4.1417696700000004</v>
      </c>
      <c r="D31" s="5">
        <v>2.2522600000000002</v>
      </c>
      <c r="E31" s="8">
        <f t="shared" si="1"/>
        <v>1.8895096700000003</v>
      </c>
      <c r="F31" s="5">
        <f>Sheet3!D47/Sheet3!C47</f>
        <v>0.3363410502296782</v>
      </c>
      <c r="G31" s="5">
        <f>Sheet3!E47/Sheet3!F47</f>
        <v>0.69718402632837961</v>
      </c>
      <c r="H31" s="6">
        <f t="shared" si="2"/>
        <v>0.48242793513352628</v>
      </c>
      <c r="I31" s="6">
        <f>LN(Sheet3!B47)</f>
        <v>13.786199587909795</v>
      </c>
      <c r="J31" s="5">
        <v>5.75</v>
      </c>
      <c r="K31" s="5">
        <v>0.16</v>
      </c>
      <c r="L31" s="8">
        <f t="shared" si="3"/>
        <v>5.59</v>
      </c>
      <c r="M31" s="6">
        <v>202.28491304347821</v>
      </c>
      <c r="O31" s="21">
        <v>9565</v>
      </c>
      <c r="P31" s="21">
        <v>9316.5217391304341</v>
      </c>
    </row>
    <row r="32" spans="1:16" x14ac:dyDescent="0.75">
      <c r="A32" s="4">
        <v>41061</v>
      </c>
      <c r="B32" s="7">
        <f t="shared" si="0"/>
        <v>9480</v>
      </c>
      <c r="C32" s="5">
        <v>4.1527290499999996</v>
      </c>
      <c r="D32" s="5">
        <v>2.1922899999999998</v>
      </c>
      <c r="E32" s="8">
        <f t="shared" si="1"/>
        <v>1.9604390499999997</v>
      </c>
      <c r="F32" s="5">
        <f>Sheet3!D48/Sheet3!C48</f>
        <v>0.36278655330151061</v>
      </c>
      <c r="G32" s="5">
        <f>Sheet3!E48/Sheet3!F48</f>
        <v>0.73291131680464794</v>
      </c>
      <c r="H32" s="6">
        <f t="shared" si="2"/>
        <v>0.4949937939056393</v>
      </c>
      <c r="I32" s="6">
        <f>LN(Sheet3!B48)</f>
        <v>13.738163379086563</v>
      </c>
      <c r="J32" s="5">
        <v>5.75</v>
      </c>
      <c r="K32" s="5">
        <v>0.16</v>
      </c>
      <c r="L32" s="8">
        <f t="shared" si="3"/>
        <v>5.59</v>
      </c>
      <c r="M32" s="6">
        <v>211.08776190476189</v>
      </c>
      <c r="O32" s="21">
        <v>9480</v>
      </c>
      <c r="P32" s="21">
        <v>9431.6190476190477</v>
      </c>
    </row>
    <row r="33" spans="1:16" x14ac:dyDescent="0.75">
      <c r="A33" s="4">
        <v>41091</v>
      </c>
      <c r="B33" s="7">
        <f t="shared" si="0"/>
        <v>9485</v>
      </c>
      <c r="C33" s="5">
        <v>4.2817679599999998</v>
      </c>
      <c r="D33" s="5">
        <v>2.1099600000000001</v>
      </c>
      <c r="E33" s="8">
        <f t="shared" si="1"/>
        <v>2.1718079599999998</v>
      </c>
      <c r="F33" s="5">
        <f>Sheet3!D49/Sheet3!C49</f>
        <v>0.38229210569804711</v>
      </c>
      <c r="G33" s="5">
        <f>Sheet3!E49/Sheet3!F49</f>
        <v>0.7056993767692693</v>
      </c>
      <c r="H33" s="6">
        <f t="shared" si="2"/>
        <v>0.54172090593051314</v>
      </c>
      <c r="I33" s="6">
        <f>LN(Sheet3!B49)</f>
        <v>13.749696738646223</v>
      </c>
      <c r="J33" s="5">
        <v>5.75</v>
      </c>
      <c r="K33" s="5">
        <v>0.16</v>
      </c>
      <c r="L33" s="8">
        <f t="shared" si="3"/>
        <v>5.59</v>
      </c>
      <c r="M33" s="6">
        <v>183.33040909090911</v>
      </c>
      <c r="O33" s="21">
        <v>9485</v>
      </c>
      <c r="P33" s="21">
        <v>9441.181818181818</v>
      </c>
    </row>
    <row r="34" spans="1:16" x14ac:dyDescent="0.75">
      <c r="A34" s="4">
        <v>41122</v>
      </c>
      <c r="B34" s="7">
        <f t="shared" si="0"/>
        <v>9560</v>
      </c>
      <c r="C34" s="5">
        <v>4.1633177899999998</v>
      </c>
      <c r="D34" s="5">
        <v>1.9352499999999999</v>
      </c>
      <c r="E34" s="8">
        <f t="shared" si="1"/>
        <v>2.2280677899999999</v>
      </c>
      <c r="F34" s="5">
        <f>Sheet3!D50/Sheet3!C50</f>
        <v>0.33543999841827715</v>
      </c>
      <c r="G34" s="5">
        <f>Sheet3!E50/Sheet3!F50</f>
        <v>0.7331227290560659</v>
      </c>
      <c r="H34" s="6">
        <f t="shared" si="2"/>
        <v>0.457549582250947</v>
      </c>
      <c r="I34" s="6">
        <f>LN(Sheet3!B50)</f>
        <v>13.770208386170724</v>
      </c>
      <c r="J34" s="5">
        <v>5.75</v>
      </c>
      <c r="K34" s="5">
        <v>0.13</v>
      </c>
      <c r="L34" s="8">
        <f t="shared" si="3"/>
        <v>5.62</v>
      </c>
      <c r="M34" s="6">
        <v>174.69426086956523</v>
      </c>
      <c r="O34" s="21">
        <v>9560</v>
      </c>
      <c r="P34" s="21">
        <v>9505.434782608696</v>
      </c>
    </row>
    <row r="35" spans="1:16" x14ac:dyDescent="0.75">
      <c r="A35" s="4">
        <v>41153</v>
      </c>
      <c r="B35" s="7">
        <f t="shared" si="0"/>
        <v>9588</v>
      </c>
      <c r="C35" s="5">
        <v>4.1152922299999997</v>
      </c>
      <c r="D35" s="5">
        <v>2.0082399999999998</v>
      </c>
      <c r="E35" s="8">
        <f t="shared" si="1"/>
        <v>2.1070522299999999</v>
      </c>
      <c r="F35" s="5">
        <f>Sheet3!D51/Sheet3!C51</f>
        <v>0.35109875555778297</v>
      </c>
      <c r="G35" s="5">
        <f>Sheet3!E51/Sheet3!F51</f>
        <v>0.70409391313306269</v>
      </c>
      <c r="H35" s="6">
        <f t="shared" si="2"/>
        <v>0.4986533032155766</v>
      </c>
      <c r="I35" s="6">
        <f>LN(Sheet3!B51)</f>
        <v>13.790841780339848</v>
      </c>
      <c r="J35" s="5">
        <v>5.75</v>
      </c>
      <c r="K35" s="5">
        <v>0.14000000000000001</v>
      </c>
      <c r="L35" s="8">
        <f t="shared" si="3"/>
        <v>5.61</v>
      </c>
      <c r="M35" s="6">
        <v>168.10974999999999</v>
      </c>
      <c r="O35" s="21">
        <v>9588</v>
      </c>
      <c r="P35" s="21">
        <v>9564.7999999999993</v>
      </c>
    </row>
    <row r="36" spans="1:16" x14ac:dyDescent="0.75">
      <c r="A36" s="4">
        <v>41183</v>
      </c>
      <c r="B36" s="7">
        <f t="shared" si="0"/>
        <v>9615</v>
      </c>
      <c r="C36" s="5">
        <v>4.5851703400000003</v>
      </c>
      <c r="D36" s="5">
        <v>1.99465</v>
      </c>
      <c r="E36" s="8">
        <f t="shared" si="1"/>
        <v>2.5905203400000003</v>
      </c>
      <c r="F36" s="5">
        <f>Sheet3!D52/Sheet3!C52</f>
        <v>0.29126183710137504</v>
      </c>
      <c r="G36" s="5">
        <f>Sheet3!E52/Sheet3!F52</f>
        <v>0.7153108495430448</v>
      </c>
      <c r="H36" s="6">
        <f t="shared" si="2"/>
        <v>0.40718218839744857</v>
      </c>
      <c r="I36" s="6">
        <f>LN(Sheet3!B52)</f>
        <v>13.805919853837663</v>
      </c>
      <c r="J36" s="5">
        <v>5.75</v>
      </c>
      <c r="K36" s="5">
        <v>0.16</v>
      </c>
      <c r="L36" s="8">
        <f t="shared" si="3"/>
        <v>5.59</v>
      </c>
      <c r="M36" s="6">
        <v>165.55799999999999</v>
      </c>
      <c r="O36" s="21">
        <v>9615</v>
      </c>
      <c r="P36" s="21">
        <v>9599.2608695652179</v>
      </c>
    </row>
    <row r="37" spans="1:16" x14ac:dyDescent="0.75">
      <c r="A37" s="4">
        <v>41214</v>
      </c>
      <c r="B37" s="7">
        <f t="shared" si="0"/>
        <v>9605</v>
      </c>
      <c r="C37" s="5">
        <v>4.4030685600000004</v>
      </c>
      <c r="D37" s="5">
        <v>1.95285</v>
      </c>
      <c r="E37" s="8">
        <f t="shared" si="1"/>
        <v>2.4502185600000006</v>
      </c>
      <c r="F37" s="5">
        <f>Sheet3!D53/Sheet3!C53</f>
        <v>0.274749875152343</v>
      </c>
      <c r="G37" s="5">
        <f>Sheet3!E53/Sheet3!F53</f>
        <v>0.73803263574389033</v>
      </c>
      <c r="H37" s="6">
        <f t="shared" si="2"/>
        <v>0.37227334110423516</v>
      </c>
      <c r="I37" s="6">
        <f>LN(Sheet3!B53)</f>
        <v>13.804589236852607</v>
      </c>
      <c r="J37" s="5">
        <v>5.75</v>
      </c>
      <c r="K37" s="5">
        <v>0.16</v>
      </c>
      <c r="L37" s="8">
        <f t="shared" si="3"/>
        <v>5.59</v>
      </c>
      <c r="M37" s="6">
        <v>165.55799999999999</v>
      </c>
      <c r="O37" s="21">
        <v>9605</v>
      </c>
      <c r="P37" s="21">
        <v>9620.136363636364</v>
      </c>
    </row>
    <row r="38" spans="1:16" x14ac:dyDescent="0.75">
      <c r="A38" s="4">
        <v>41244</v>
      </c>
      <c r="B38" s="7">
        <f t="shared" si="0"/>
        <v>9670</v>
      </c>
      <c r="C38" s="5">
        <v>4.3987568699999997</v>
      </c>
      <c r="D38" s="5">
        <v>1.8996900000000001</v>
      </c>
      <c r="E38" s="8">
        <f t="shared" si="1"/>
        <v>2.4990668699999996</v>
      </c>
      <c r="F38" s="5">
        <f>Sheet3!D54/Sheet3!C54</f>
        <v>0.25771443095420532</v>
      </c>
      <c r="G38" s="5">
        <f>Sheet3!E54/Sheet3!F54</f>
        <v>0.72757230350192603</v>
      </c>
      <c r="H38" s="6">
        <f t="shared" si="2"/>
        <v>0.35421143673801636</v>
      </c>
      <c r="I38" s="6">
        <f>LN(Sheet3!B54)</f>
        <v>13.780341275471136</v>
      </c>
      <c r="J38" s="5">
        <v>5.75</v>
      </c>
      <c r="K38" s="5">
        <v>0.16</v>
      </c>
      <c r="L38" s="8">
        <f t="shared" si="3"/>
        <v>5.59</v>
      </c>
      <c r="M38" s="6">
        <v>133.89519047619044</v>
      </c>
      <c r="O38" s="21">
        <v>9670</v>
      </c>
      <c r="P38" s="21">
        <v>9646.0476190476184</v>
      </c>
    </row>
    <row r="39" spans="1:16" x14ac:dyDescent="0.75">
      <c r="A39" s="4">
        <v>41275</v>
      </c>
      <c r="B39" s="7">
        <f t="shared" si="0"/>
        <v>9698</v>
      </c>
      <c r="C39" s="5">
        <v>4.3160901300000001</v>
      </c>
      <c r="D39" s="5">
        <v>1.9097999999999999</v>
      </c>
      <c r="E39" s="8">
        <f t="shared" si="1"/>
        <v>2.4062901300000004</v>
      </c>
      <c r="F39" s="5">
        <f>Sheet3!D55/Sheet3!C55</f>
        <v>0.27622952642736515</v>
      </c>
      <c r="G39" s="5">
        <f>Sheet3!E55/Sheet3!F55</f>
        <v>0.77184326018407856</v>
      </c>
      <c r="H39" s="6">
        <f t="shared" si="2"/>
        <v>0.35788292866803884</v>
      </c>
      <c r="I39" s="6">
        <f>LN(Sheet3!B55)</f>
        <v>13.774931294399144</v>
      </c>
      <c r="J39" s="5">
        <v>5.75</v>
      </c>
      <c r="K39" s="5">
        <v>0.14000000000000001</v>
      </c>
      <c r="L39" s="8">
        <f t="shared" si="3"/>
        <v>5.61</v>
      </c>
      <c r="M39" s="6">
        <v>134.6097391304348</v>
      </c>
      <c r="O39" s="21">
        <v>9698</v>
      </c>
      <c r="P39" s="21">
        <v>9654.3043478260861</v>
      </c>
    </row>
    <row r="40" spans="1:16" x14ac:dyDescent="0.75">
      <c r="A40" s="4">
        <v>41306</v>
      </c>
      <c r="B40" s="7">
        <f t="shared" si="0"/>
        <v>9667</v>
      </c>
      <c r="C40" s="5">
        <v>4.2859402199999996</v>
      </c>
      <c r="D40" s="5">
        <v>1.98874</v>
      </c>
      <c r="E40" s="8">
        <f t="shared" si="1"/>
        <v>2.2972002199999997</v>
      </c>
      <c r="F40" s="5">
        <f>Sheet3!D56/Sheet3!C56</f>
        <v>0.27878080678364398</v>
      </c>
      <c r="G40" s="5">
        <f>Sheet3!E56/Sheet3!F56</f>
        <v>0.712106469259146</v>
      </c>
      <c r="H40" s="6">
        <f t="shared" si="2"/>
        <v>0.39148753566819733</v>
      </c>
      <c r="I40" s="6">
        <f>LN(Sheet3!B56)</f>
        <v>13.751199850875112</v>
      </c>
      <c r="J40" s="5">
        <v>5.75</v>
      </c>
      <c r="K40" s="5">
        <v>0.15</v>
      </c>
      <c r="L40" s="8">
        <f t="shared" si="3"/>
        <v>5.6</v>
      </c>
      <c r="M40" s="6">
        <v>142.51524999999998</v>
      </c>
      <c r="O40" s="21">
        <v>9667</v>
      </c>
      <c r="P40" s="21">
        <v>9680.75</v>
      </c>
    </row>
    <row r="41" spans="1:16" x14ac:dyDescent="0.75">
      <c r="A41" s="4">
        <v>41334</v>
      </c>
      <c r="B41" s="7">
        <f t="shared" si="0"/>
        <v>9719</v>
      </c>
      <c r="C41" s="5">
        <v>4.2143477200000001</v>
      </c>
      <c r="D41" s="5">
        <v>1.8890199999999999</v>
      </c>
      <c r="E41" s="8">
        <f t="shared" si="1"/>
        <v>2.3253277200000002</v>
      </c>
      <c r="F41" s="5">
        <f>Sheet3!D57/Sheet3!C57</f>
        <v>0.25134585271979287</v>
      </c>
      <c r="G41" s="5">
        <f>Sheet3!E57/Sheet3!F57</f>
        <v>0.74012642301579223</v>
      </c>
      <c r="H41" s="6">
        <f t="shared" si="2"/>
        <v>0.33959854006513407</v>
      </c>
      <c r="I41" s="6">
        <f>LN(Sheet3!B57)</f>
        <v>13.761436284446908</v>
      </c>
      <c r="J41" s="5">
        <v>5.75</v>
      </c>
      <c r="K41" s="5">
        <v>0.14000000000000001</v>
      </c>
      <c r="L41" s="8">
        <f t="shared" si="3"/>
        <v>5.61</v>
      </c>
      <c r="M41" s="6">
        <v>139.25942857142857</v>
      </c>
      <c r="O41" s="21">
        <v>9719</v>
      </c>
      <c r="P41" s="21">
        <v>9708.4285714285706</v>
      </c>
    </row>
    <row r="42" spans="1:16" x14ac:dyDescent="0.75">
      <c r="A42" s="4">
        <v>41365</v>
      </c>
      <c r="B42" s="7">
        <f t="shared" si="0"/>
        <v>9722</v>
      </c>
      <c r="C42" s="5">
        <v>4.11811024</v>
      </c>
      <c r="D42" s="5">
        <v>1.71556</v>
      </c>
      <c r="E42" s="8">
        <f t="shared" si="1"/>
        <v>2.4025502400000001</v>
      </c>
      <c r="F42" s="5">
        <f>Sheet3!D58/Sheet3!C58</f>
        <v>0.25066199367890907</v>
      </c>
      <c r="G42" s="5">
        <f>Sheet3!E58/Sheet3!F58</f>
        <v>0.74166137335125537</v>
      </c>
      <c r="H42" s="6">
        <f t="shared" si="2"/>
        <v>0.33797363956851778</v>
      </c>
      <c r="I42" s="6">
        <f>LN(Sheet3!B58)</f>
        <v>13.753810840940035</v>
      </c>
      <c r="J42" s="5">
        <v>5.75</v>
      </c>
      <c r="K42" s="5">
        <v>0.15</v>
      </c>
      <c r="L42" s="8">
        <f t="shared" si="3"/>
        <v>5.6</v>
      </c>
      <c r="M42" s="6">
        <v>146.49922727272727</v>
      </c>
      <c r="O42" s="21">
        <v>9722</v>
      </c>
      <c r="P42" s="21">
        <v>9723.636363636364</v>
      </c>
    </row>
    <row r="43" spans="1:16" x14ac:dyDescent="0.75">
      <c r="A43" s="4">
        <v>41395</v>
      </c>
      <c r="B43" s="7">
        <f t="shared" si="0"/>
        <v>9802</v>
      </c>
      <c r="C43" s="5">
        <v>3.992769</v>
      </c>
      <c r="D43" s="5">
        <v>1.6455500000000001</v>
      </c>
      <c r="E43" s="8">
        <f t="shared" si="1"/>
        <v>2.3472189999999999</v>
      </c>
      <c r="F43" s="5">
        <f>Sheet3!D59/Sheet3!C59</f>
        <v>0.2625850627300656</v>
      </c>
      <c r="G43" s="5">
        <f>Sheet3!E59/Sheet3!F59</f>
        <v>0.75687901711491701</v>
      </c>
      <c r="H43" s="6">
        <f t="shared" si="2"/>
        <v>0.34693135467143926</v>
      </c>
      <c r="I43" s="6">
        <f>LN(Sheet3!B59)</f>
        <v>13.748932732191115</v>
      </c>
      <c r="J43" s="5">
        <v>5.75</v>
      </c>
      <c r="K43" s="5">
        <v>0.11</v>
      </c>
      <c r="L43" s="8">
        <f t="shared" si="3"/>
        <v>5.64</v>
      </c>
      <c r="M43" s="6">
        <v>137.90939130434782</v>
      </c>
      <c r="O43" s="21">
        <v>9802</v>
      </c>
      <c r="P43" s="21">
        <v>9759.652173913044</v>
      </c>
    </row>
    <row r="44" spans="1:16" x14ac:dyDescent="0.75">
      <c r="A44" s="4">
        <v>41426</v>
      </c>
      <c r="B44" s="7">
        <f t="shared" si="0"/>
        <v>9929</v>
      </c>
      <c r="C44" s="5">
        <v>3.97932007</v>
      </c>
      <c r="D44" s="5">
        <v>1.6231</v>
      </c>
      <c r="E44" s="8">
        <f t="shared" si="1"/>
        <v>2.35622007</v>
      </c>
      <c r="F44" s="5">
        <f>Sheet3!D60/Sheet3!C60</f>
        <v>0.2726959898312073</v>
      </c>
      <c r="G44" s="5">
        <f>Sheet3!E60/Sheet3!F60</f>
        <v>0.76270076147945776</v>
      </c>
      <c r="H44" s="6">
        <f t="shared" si="2"/>
        <v>0.35753994699342118</v>
      </c>
      <c r="I44" s="6">
        <f>LN(Sheet3!B60)</f>
        <v>13.633773898084765</v>
      </c>
      <c r="J44" s="5">
        <v>6</v>
      </c>
      <c r="K44" s="5">
        <v>0.09</v>
      </c>
      <c r="L44" s="8">
        <f t="shared" si="3"/>
        <v>5.91</v>
      </c>
      <c r="M44" s="6">
        <v>211.74079999999995</v>
      </c>
      <c r="O44" s="21">
        <v>9929</v>
      </c>
      <c r="P44" s="21">
        <v>9871.7000000000007</v>
      </c>
    </row>
    <row r="45" spans="1:16" x14ac:dyDescent="0.75">
      <c r="A45" s="4">
        <v>41456</v>
      </c>
      <c r="B45" s="7">
        <f t="shared" si="0"/>
        <v>10278</v>
      </c>
      <c r="C45" s="5">
        <v>4.4409816900000001</v>
      </c>
      <c r="D45" s="5">
        <v>1.7002200000000001</v>
      </c>
      <c r="E45" s="8">
        <f t="shared" si="1"/>
        <v>2.7407616900000003</v>
      </c>
      <c r="F45" s="5">
        <f>Sheet3!D61/Sheet3!C61</f>
        <v>0.26902390744615212</v>
      </c>
      <c r="G45" s="5">
        <f>Sheet3!E61/Sheet3!F61</f>
        <v>0.75959570462377102</v>
      </c>
      <c r="H45" s="6">
        <f t="shared" si="2"/>
        <v>0.35416723107906473</v>
      </c>
      <c r="I45" s="6">
        <f>LN(Sheet3!B61)</f>
        <v>13.65263555331456</v>
      </c>
      <c r="J45" s="5">
        <v>6.5</v>
      </c>
      <c r="K45" s="5">
        <v>0.09</v>
      </c>
      <c r="L45" s="8">
        <f t="shared" si="3"/>
        <v>6.41</v>
      </c>
      <c r="M45" s="6">
        <v>208.34808695652183</v>
      </c>
      <c r="O45" s="21">
        <v>10278</v>
      </c>
      <c r="P45" s="21">
        <v>10071.478260869566</v>
      </c>
    </row>
    <row r="46" spans="1:16" x14ac:dyDescent="0.75">
      <c r="A46" s="4">
        <v>41487</v>
      </c>
      <c r="B46" s="7">
        <f t="shared" si="0"/>
        <v>10924</v>
      </c>
      <c r="C46" s="5">
        <v>4.4830246899999997</v>
      </c>
      <c r="D46" s="5">
        <v>1.7821100000000001</v>
      </c>
      <c r="E46" s="8">
        <f t="shared" si="1"/>
        <v>2.7009146899999994</v>
      </c>
      <c r="F46" s="5">
        <f>Sheet3!D62/Sheet3!C62</f>
        <v>0.24664580599041439</v>
      </c>
      <c r="G46" s="5">
        <f>Sheet3!E62/Sheet3!F62</f>
        <v>0.76065254501132307</v>
      </c>
      <c r="H46" s="6">
        <f t="shared" si="2"/>
        <v>0.32425554559439856</v>
      </c>
      <c r="I46" s="6">
        <f>LN(Sheet3!B62)</f>
        <v>13.687074470766866</v>
      </c>
      <c r="J46" s="5">
        <v>7</v>
      </c>
      <c r="K46" s="5">
        <v>0.08</v>
      </c>
      <c r="L46" s="8">
        <f t="shared" si="3"/>
        <v>6.92</v>
      </c>
      <c r="M46" s="6">
        <v>244.53031818181816</v>
      </c>
      <c r="O46" s="21">
        <v>10924</v>
      </c>
      <c r="P46" s="21">
        <v>10532.545454545454</v>
      </c>
    </row>
    <row r="47" spans="1:16" x14ac:dyDescent="0.75">
      <c r="A47" s="4">
        <v>41518</v>
      </c>
      <c r="B47" s="7">
        <f t="shared" si="0"/>
        <v>11613</v>
      </c>
      <c r="C47" s="5">
        <v>4.7216241200000004</v>
      </c>
      <c r="D47" s="5">
        <v>1.7519400000000001</v>
      </c>
      <c r="E47" s="8">
        <f t="shared" si="1"/>
        <v>2.9696841200000001</v>
      </c>
      <c r="F47" s="5">
        <f>Sheet3!D63/Sheet3!C63</f>
        <v>0.26324152851449306</v>
      </c>
      <c r="G47" s="5">
        <f>Sheet3!E63/Sheet3!F63</f>
        <v>0.72805194360866732</v>
      </c>
      <c r="H47" s="6">
        <f t="shared" si="2"/>
        <v>0.36156970780094105</v>
      </c>
      <c r="I47" s="6">
        <f>LN(Sheet3!B63)</f>
        <v>13.7872254801912</v>
      </c>
      <c r="J47" s="5">
        <v>7.25</v>
      </c>
      <c r="K47" s="5">
        <v>0.08</v>
      </c>
      <c r="L47" s="8">
        <f t="shared" si="3"/>
        <v>7.17</v>
      </c>
      <c r="M47" s="6">
        <v>281.72300000000001</v>
      </c>
      <c r="O47" s="21">
        <v>11613</v>
      </c>
      <c r="P47" s="21">
        <v>11327.476190476191</v>
      </c>
    </row>
    <row r="48" spans="1:16" x14ac:dyDescent="0.75">
      <c r="A48" s="4">
        <v>41548</v>
      </c>
      <c r="B48" s="7">
        <f t="shared" si="0"/>
        <v>11234</v>
      </c>
      <c r="C48" s="5">
        <v>4.7290564899999996</v>
      </c>
      <c r="D48" s="5">
        <v>1.6868399999999999</v>
      </c>
      <c r="E48" s="8">
        <f t="shared" si="1"/>
        <v>3.0422164899999995</v>
      </c>
      <c r="F48" s="5">
        <f>Sheet3!D64/Sheet3!C64</f>
        <v>0.27531296569104441</v>
      </c>
      <c r="G48" s="5">
        <f>Sheet3!E64/Sheet3!F64</f>
        <v>0.77218430283994244</v>
      </c>
      <c r="H48" s="6">
        <f t="shared" si="2"/>
        <v>0.35653789474675579</v>
      </c>
      <c r="I48" s="6">
        <f>LN(Sheet3!B64)</f>
        <v>13.770389083914035</v>
      </c>
      <c r="J48" s="5">
        <v>7.25</v>
      </c>
      <c r="K48" s="5">
        <v>0.09</v>
      </c>
      <c r="L48" s="8">
        <f t="shared" si="3"/>
        <v>7.16</v>
      </c>
      <c r="M48" s="6">
        <v>262.24773913043481</v>
      </c>
      <c r="O48" s="21">
        <v>11234</v>
      </c>
      <c r="P48" s="21">
        <v>11345.130434782608</v>
      </c>
    </row>
    <row r="49" spans="1:16" x14ac:dyDescent="0.75">
      <c r="A49" s="4">
        <v>41579</v>
      </c>
      <c r="B49" s="7">
        <f t="shared" si="0"/>
        <v>11977</v>
      </c>
      <c r="C49" s="5">
        <v>4.7990815199999997</v>
      </c>
      <c r="D49" s="5">
        <v>1.7416700000000001</v>
      </c>
      <c r="E49" s="8">
        <f t="shared" si="1"/>
        <v>3.0574115199999996</v>
      </c>
      <c r="F49" s="5">
        <f>Sheet3!D65/Sheet3!C65</f>
        <v>0.24505836192038938</v>
      </c>
      <c r="G49" s="5">
        <f>Sheet3!E65/Sheet3!F65</f>
        <v>0.76922171282344909</v>
      </c>
      <c r="H49" s="6">
        <f t="shared" si="2"/>
        <v>0.31857962123936417</v>
      </c>
      <c r="I49" s="6">
        <f>LN(Sheet3!B65)</f>
        <v>13.803193898362307</v>
      </c>
      <c r="J49" s="5">
        <v>7.5</v>
      </c>
      <c r="K49" s="5">
        <v>0.08</v>
      </c>
      <c r="L49" s="8">
        <f t="shared" si="3"/>
        <v>7.42</v>
      </c>
      <c r="M49" s="6">
        <v>223.61804761904764</v>
      </c>
      <c r="O49" s="21">
        <v>11977</v>
      </c>
      <c r="P49" s="21">
        <v>11610.666666666666</v>
      </c>
    </row>
    <row r="50" spans="1:16" x14ac:dyDescent="0.75">
      <c r="A50" s="4">
        <v>41609</v>
      </c>
      <c r="B50" s="7">
        <f t="shared" si="0"/>
        <v>12189</v>
      </c>
      <c r="C50" s="5">
        <v>4.98435234</v>
      </c>
      <c r="D50" s="5">
        <v>1.7408600000000001</v>
      </c>
      <c r="E50" s="8">
        <f t="shared" si="1"/>
        <v>3.24349234</v>
      </c>
      <c r="F50" s="5">
        <f>Sheet3!D66/Sheet3!C66</f>
        <v>0.2452110194494026</v>
      </c>
      <c r="G50" s="5">
        <f>Sheet3!E66/Sheet3!F66</f>
        <v>0.79837693237923202</v>
      </c>
      <c r="H50" s="6">
        <f t="shared" si="2"/>
        <v>0.30713690426732726</v>
      </c>
      <c r="I50" s="6">
        <f>LN(Sheet3!B66)</f>
        <v>13.82680715051719</v>
      </c>
      <c r="J50" s="5">
        <v>7.5</v>
      </c>
      <c r="K50" s="5">
        <v>0.09</v>
      </c>
      <c r="L50" s="8">
        <f t="shared" si="3"/>
        <v>7.41</v>
      </c>
      <c r="M50" s="6">
        <v>224.41749999999999</v>
      </c>
      <c r="O50" s="21">
        <v>12189</v>
      </c>
      <c r="P50" s="21">
        <v>12086.727272727272</v>
      </c>
    </row>
    <row r="51" spans="1:16" x14ac:dyDescent="0.75">
      <c r="A51" s="4">
        <v>41640</v>
      </c>
      <c r="B51" s="7">
        <f t="shared" si="0"/>
        <v>12226</v>
      </c>
      <c r="C51" s="5">
        <v>4.5285238200000002</v>
      </c>
      <c r="D51" s="5">
        <v>1.60703</v>
      </c>
      <c r="E51" s="8">
        <f t="shared" si="1"/>
        <v>2.9214938200000002</v>
      </c>
      <c r="F51" s="5">
        <f>Sheet3!D67/Sheet3!C67</f>
        <v>0.29442512073597371</v>
      </c>
      <c r="G51" s="5">
        <f>Sheet3!E67/Sheet3!F67</f>
        <v>0.77707294370216207</v>
      </c>
      <c r="H51" s="6">
        <f t="shared" si="2"/>
        <v>0.37888993964100942</v>
      </c>
      <c r="I51" s="6">
        <f>LN(Sheet3!B67)</f>
        <v>13.85064307003058</v>
      </c>
      <c r="J51" s="5">
        <v>7.5</v>
      </c>
      <c r="K51" s="5">
        <v>7.0000000000000007E-2</v>
      </c>
      <c r="L51" s="8">
        <f t="shared" si="3"/>
        <v>7.43</v>
      </c>
      <c r="M51" s="6">
        <v>228.61734782608693</v>
      </c>
      <c r="O51" s="21">
        <v>12226</v>
      </c>
      <c r="P51" s="21">
        <v>12158.347826086956</v>
      </c>
    </row>
    <row r="52" spans="1:16" x14ac:dyDescent="0.75">
      <c r="A52" s="4">
        <v>41671</v>
      </c>
      <c r="B52" s="7">
        <f t="shared" si="0"/>
        <v>11634</v>
      </c>
      <c r="C52" s="5">
        <v>4.5725451899999996</v>
      </c>
      <c r="D52" s="5">
        <v>1.55481</v>
      </c>
      <c r="E52" s="8">
        <f t="shared" si="1"/>
        <v>3.0177351899999998</v>
      </c>
      <c r="F52" s="5">
        <f>Sheet3!D68/Sheet3!C68</f>
        <v>0.33719350335875153</v>
      </c>
      <c r="G52" s="5">
        <f>Sheet3!E68/Sheet3!F68</f>
        <v>0.77153871566973276</v>
      </c>
      <c r="H52" s="6">
        <f t="shared" si="2"/>
        <v>0.4370402891137502</v>
      </c>
      <c r="I52" s="6">
        <f>LN(Sheet3!B68)</f>
        <v>13.824691860517698</v>
      </c>
      <c r="J52" s="5">
        <v>7.5</v>
      </c>
      <c r="K52" s="5">
        <v>7.0000000000000007E-2</v>
      </c>
      <c r="L52" s="8">
        <f t="shared" si="3"/>
        <v>7.43</v>
      </c>
      <c r="M52" s="6">
        <v>209.85519999999997</v>
      </c>
      <c r="O52" s="21">
        <v>11634</v>
      </c>
      <c r="P52" s="21">
        <v>11919.8</v>
      </c>
    </row>
    <row r="53" spans="1:16" x14ac:dyDescent="0.75">
      <c r="A53" s="4">
        <v>41699</v>
      </c>
      <c r="B53" s="7">
        <f t="shared" si="0"/>
        <v>11404</v>
      </c>
      <c r="C53" s="5">
        <v>4.6132839199999998</v>
      </c>
      <c r="D53" s="5">
        <v>1.6456599999999999</v>
      </c>
      <c r="E53" s="8">
        <f t="shared" si="1"/>
        <v>2.9676239199999999</v>
      </c>
      <c r="F53" s="5">
        <f>Sheet3!D69/Sheet3!C69</f>
        <v>0.30819854816273506</v>
      </c>
      <c r="G53" s="5">
        <f>Sheet3!E69/Sheet3!F69</f>
        <v>0.78767174764635584</v>
      </c>
      <c r="H53" s="6">
        <f t="shared" si="2"/>
        <v>0.39127790108463839</v>
      </c>
      <c r="I53" s="6">
        <f>LN(Sheet3!B69)</f>
        <v>13.798743167672283</v>
      </c>
      <c r="J53" s="5">
        <v>7.5</v>
      </c>
      <c r="K53" s="5">
        <v>0.08</v>
      </c>
      <c r="L53" s="8">
        <f t="shared" si="3"/>
        <v>7.42</v>
      </c>
      <c r="M53" s="6">
        <v>181.97395238095237</v>
      </c>
      <c r="O53" s="21">
        <v>11404</v>
      </c>
      <c r="P53" s="21">
        <v>11416.857142857143</v>
      </c>
    </row>
    <row r="54" spans="1:16" x14ac:dyDescent="0.75">
      <c r="A54" s="4">
        <v>41730</v>
      </c>
      <c r="B54" s="7">
        <f t="shared" si="0"/>
        <v>11532</v>
      </c>
      <c r="C54" s="5">
        <v>4.6627080699999999</v>
      </c>
      <c r="D54" s="5">
        <v>1.8210599999999999</v>
      </c>
      <c r="E54" s="8">
        <f t="shared" si="1"/>
        <v>2.8416480699999997</v>
      </c>
      <c r="F54" s="5">
        <f>Sheet3!D70/Sheet3!C70</f>
        <v>0.31383243740333394</v>
      </c>
      <c r="G54" s="5">
        <f>Sheet3!E70/Sheet3!F70</f>
        <v>0.8000884869944862</v>
      </c>
      <c r="H54" s="6">
        <f t="shared" si="2"/>
        <v>0.39224716078872501</v>
      </c>
      <c r="I54" s="6">
        <f>LN(Sheet3!B70)</f>
        <v>13.825625786112225</v>
      </c>
      <c r="J54" s="5">
        <v>7.5</v>
      </c>
      <c r="K54" s="5">
        <v>0.09</v>
      </c>
      <c r="L54" s="8">
        <f t="shared" si="3"/>
        <v>7.41</v>
      </c>
      <c r="M54" s="6">
        <v>171.83245454545451</v>
      </c>
      <c r="O54" s="21">
        <v>11532</v>
      </c>
      <c r="P54" s="21">
        <v>11431.545454545454</v>
      </c>
    </row>
    <row r="55" spans="1:16" x14ac:dyDescent="0.75">
      <c r="A55" s="4">
        <v>41760</v>
      </c>
      <c r="B55" s="7">
        <f t="shared" si="0"/>
        <v>11611</v>
      </c>
      <c r="C55" s="5">
        <v>4.8244334200000001</v>
      </c>
      <c r="D55" s="5">
        <v>1.94553</v>
      </c>
      <c r="E55" s="8">
        <f t="shared" si="1"/>
        <v>2.8789034200000003</v>
      </c>
      <c r="F55" s="5">
        <f>Sheet3!D71/Sheet3!C71</f>
        <v>0.31261793431742152</v>
      </c>
      <c r="G55" s="5">
        <f>Sheet3!E71/Sheet3!F71</f>
        <v>0.82578266708959913</v>
      </c>
      <c r="H55" s="6">
        <f t="shared" si="2"/>
        <v>0.37857168329678909</v>
      </c>
      <c r="I55" s="6">
        <f>LN(Sheet3!B71)</f>
        <v>13.87082313818992</v>
      </c>
      <c r="J55" s="5">
        <v>7.5</v>
      </c>
      <c r="K55" s="5">
        <v>0.09</v>
      </c>
      <c r="L55" s="8">
        <f t="shared" si="3"/>
        <v>7.41</v>
      </c>
      <c r="M55" s="6">
        <v>155.29827272727269</v>
      </c>
      <c r="O55" s="21">
        <v>11611</v>
      </c>
      <c r="P55" s="21">
        <v>11536.272727272728</v>
      </c>
    </row>
    <row r="56" spans="1:16" x14ac:dyDescent="0.75">
      <c r="A56" s="4">
        <v>41791</v>
      </c>
      <c r="B56" s="7">
        <f t="shared" si="0"/>
        <v>11969</v>
      </c>
      <c r="C56" s="5">
        <v>4.8117966599999997</v>
      </c>
      <c r="D56" s="5">
        <v>1.92286</v>
      </c>
      <c r="E56" s="8">
        <f t="shared" si="1"/>
        <v>2.8889366599999997</v>
      </c>
      <c r="F56" s="5">
        <f>Sheet3!D72/Sheet3!C72</f>
        <v>0.34251585978202576</v>
      </c>
      <c r="G56" s="5">
        <f>Sheet3!E72/Sheet3!F72</f>
        <v>0.81612707935345641</v>
      </c>
      <c r="H56" s="6">
        <f t="shared" si="2"/>
        <v>0.41968446881258992</v>
      </c>
      <c r="I56" s="6">
        <f>LN(Sheet3!B72)</f>
        <v>13.885457455556899</v>
      </c>
      <c r="J56" s="5">
        <v>7.5</v>
      </c>
      <c r="K56" s="5">
        <v>0.1</v>
      </c>
      <c r="L56" s="8">
        <f t="shared" si="3"/>
        <v>7.4</v>
      </c>
      <c r="M56" s="6">
        <v>147.9182857142857</v>
      </c>
      <c r="O56" s="21">
        <v>11969</v>
      </c>
      <c r="P56" s="21">
        <v>11892.523809523809</v>
      </c>
    </row>
    <row r="57" spans="1:16" x14ac:dyDescent="0.75">
      <c r="A57" s="4">
        <v>41821</v>
      </c>
      <c r="B57" s="7">
        <f t="shared" si="0"/>
        <v>11591</v>
      </c>
      <c r="C57" s="5">
        <v>4.6444401600000003</v>
      </c>
      <c r="D57" s="5">
        <v>1.8449599999999999</v>
      </c>
      <c r="E57" s="8">
        <f t="shared" si="1"/>
        <v>2.7994801600000003</v>
      </c>
      <c r="F57" s="5">
        <f>Sheet3!D73/Sheet3!C73</f>
        <v>0.32376472324824185</v>
      </c>
      <c r="G57" s="5">
        <f>Sheet3!E73/Sheet3!F73</f>
        <v>0.81960045855907337</v>
      </c>
      <c r="H57" s="6">
        <f t="shared" si="2"/>
        <v>0.39502750378818419</v>
      </c>
      <c r="I57" s="6">
        <f>LN(Sheet3!B73)</f>
        <v>13.865333417291888</v>
      </c>
      <c r="J57" s="5">
        <v>7.5</v>
      </c>
      <c r="K57" s="5">
        <v>0.09</v>
      </c>
      <c r="L57" s="8">
        <f t="shared" si="3"/>
        <v>7.41</v>
      </c>
      <c r="M57" s="6">
        <v>148.47921739130433</v>
      </c>
      <c r="O57" s="21">
        <v>11591</v>
      </c>
      <c r="P57" s="21">
        <v>11663.608695652174</v>
      </c>
    </row>
    <row r="58" spans="1:16" x14ac:dyDescent="0.75">
      <c r="A58" s="4">
        <v>41852</v>
      </c>
      <c r="B58" s="7">
        <f t="shared" si="0"/>
        <v>11717</v>
      </c>
      <c r="C58" s="5">
        <v>4.4718950499999996</v>
      </c>
      <c r="D58" s="5">
        <v>1.7363999999999999</v>
      </c>
      <c r="E58" s="8">
        <f t="shared" si="1"/>
        <v>2.7354950499999999</v>
      </c>
      <c r="F58" s="5">
        <f>Sheet3!D74/Sheet3!C74</f>
        <v>0.3330265584411059</v>
      </c>
      <c r="G58" s="5">
        <f>Sheet3!E74/Sheet3!F74</f>
        <v>0.78929215314259915</v>
      </c>
      <c r="H58" s="6">
        <f t="shared" si="2"/>
        <v>0.42193065915472105</v>
      </c>
      <c r="I58" s="6">
        <f>LN(Sheet3!B74)</f>
        <v>13.87688844894342</v>
      </c>
      <c r="J58" s="5">
        <v>7.5</v>
      </c>
      <c r="K58" s="5">
        <v>0.09</v>
      </c>
      <c r="L58" s="8">
        <f t="shared" si="3"/>
        <v>7.41</v>
      </c>
      <c r="M58" s="6">
        <v>147.81885714285713</v>
      </c>
      <c r="O58" s="21">
        <v>11717</v>
      </c>
      <c r="P58" s="21">
        <v>11710.904761904761</v>
      </c>
    </row>
    <row r="59" spans="1:16" x14ac:dyDescent="0.75">
      <c r="A59" s="4">
        <v>41883</v>
      </c>
      <c r="B59" s="7">
        <f t="shared" si="0"/>
        <v>12212</v>
      </c>
      <c r="C59" s="5">
        <v>4.04107635</v>
      </c>
      <c r="D59" s="5">
        <v>1.74095</v>
      </c>
      <c r="E59" s="8">
        <f t="shared" si="1"/>
        <v>2.3001263500000002</v>
      </c>
      <c r="F59" s="5">
        <f>Sheet3!D75/Sheet3!C75</f>
        <v>0.33177152392612902</v>
      </c>
      <c r="G59" s="5">
        <f>Sheet3!E75/Sheet3!F75</f>
        <v>0.84643920619066326</v>
      </c>
      <c r="H59" s="6">
        <f t="shared" si="2"/>
        <v>0.39196143266950273</v>
      </c>
      <c r="I59" s="6">
        <f>LN(Sheet3!B75)</f>
        <v>13.923660966249949</v>
      </c>
      <c r="J59" s="5">
        <v>7.5</v>
      </c>
      <c r="K59" s="5">
        <v>0.09</v>
      </c>
      <c r="L59" s="8">
        <f t="shared" si="3"/>
        <v>7.41</v>
      </c>
      <c r="M59" s="6">
        <v>140.39736363636365</v>
      </c>
      <c r="O59" s="21">
        <v>12212</v>
      </c>
      <c r="P59" s="21">
        <v>11898.59090909091</v>
      </c>
    </row>
    <row r="60" spans="1:16" x14ac:dyDescent="0.75">
      <c r="A60" s="4">
        <v>41913</v>
      </c>
      <c r="B60" s="7">
        <f t="shared" si="0"/>
        <v>12082</v>
      </c>
      <c r="C60" s="5">
        <v>4.0197193799999997</v>
      </c>
      <c r="D60" s="5">
        <v>1.8176300000000001</v>
      </c>
      <c r="E60" s="8">
        <f t="shared" si="1"/>
        <v>2.2020893799999994</v>
      </c>
      <c r="F60" s="5">
        <f>Sheet3!D76/Sheet3!C76</f>
        <v>0.3499076460923532</v>
      </c>
      <c r="G60" s="5">
        <f>Sheet3!E76/Sheet3!F76</f>
        <v>0.8601478976388961</v>
      </c>
      <c r="H60" s="6">
        <f t="shared" si="2"/>
        <v>0.40679939700236301</v>
      </c>
      <c r="I60" s="6">
        <f>LN(Sheet3!B76)</f>
        <v>13.907418611640342</v>
      </c>
      <c r="J60" s="5">
        <v>7.5</v>
      </c>
      <c r="K60" s="5">
        <v>0.09</v>
      </c>
      <c r="L60" s="8">
        <f t="shared" si="3"/>
        <v>7.41</v>
      </c>
      <c r="M60" s="6">
        <v>162.09878260869564</v>
      </c>
      <c r="O60" s="21">
        <v>12082</v>
      </c>
      <c r="P60" s="21">
        <v>12142.04347826087</v>
      </c>
    </row>
    <row r="61" spans="1:16" x14ac:dyDescent="0.75">
      <c r="A61" s="4">
        <v>41944</v>
      </c>
      <c r="B61" s="7">
        <f t="shared" si="0"/>
        <v>12196</v>
      </c>
      <c r="C61" s="5">
        <v>4.2096301199999999</v>
      </c>
      <c r="D61" s="5">
        <v>1.74159</v>
      </c>
      <c r="E61" s="8">
        <f t="shared" si="1"/>
        <v>2.4680401199999999</v>
      </c>
      <c r="F61" s="5">
        <f>Sheet3!D77/Sheet3!C77</f>
        <v>0.29328894198405198</v>
      </c>
      <c r="G61" s="5">
        <f>Sheet3!E77/Sheet3!F77</f>
        <v>0.8729966960414911</v>
      </c>
      <c r="H61" s="6">
        <f t="shared" si="2"/>
        <v>0.3359565314667729</v>
      </c>
      <c r="I61" s="6">
        <f>LN(Sheet3!B77)</f>
        <v>13.912932288693188</v>
      </c>
      <c r="J61" s="5">
        <v>7.75</v>
      </c>
      <c r="K61" s="5">
        <v>0.09</v>
      </c>
      <c r="L61" s="8">
        <f t="shared" si="3"/>
        <v>7.66</v>
      </c>
      <c r="M61" s="6">
        <v>141.33325000000002</v>
      </c>
      <c r="O61" s="21">
        <v>12196</v>
      </c>
      <c r="P61" s="21">
        <v>12166.9</v>
      </c>
    </row>
    <row r="62" spans="1:16" x14ac:dyDescent="0.75">
      <c r="A62" s="4">
        <v>41974</v>
      </c>
      <c r="B62" s="7">
        <f t="shared" si="0"/>
        <v>12440</v>
      </c>
      <c r="C62" s="5">
        <v>4.93163602</v>
      </c>
      <c r="D62" s="5">
        <v>1.62242</v>
      </c>
      <c r="E62" s="8">
        <f t="shared" si="1"/>
        <v>3.30921602</v>
      </c>
      <c r="F62" s="5">
        <f>Sheet3!D78/Sheet3!C78</f>
        <v>0.30971818561554565</v>
      </c>
      <c r="G62" s="5">
        <f>Sheet3!E78/Sheet3!F78</f>
        <v>0.98586434063911554</v>
      </c>
      <c r="H62" s="6">
        <f t="shared" si="2"/>
        <v>0.31415903065807382</v>
      </c>
      <c r="I62" s="6">
        <f>LN(Sheet3!B78)</f>
        <v>13.916064121718776</v>
      </c>
      <c r="J62" s="5">
        <v>7.75</v>
      </c>
      <c r="K62" s="5">
        <v>0.12</v>
      </c>
      <c r="L62" s="8">
        <f t="shared" si="3"/>
        <v>7.63</v>
      </c>
      <c r="M62" s="6">
        <v>160.62560869565223</v>
      </c>
      <c r="O62" s="21">
        <v>12440</v>
      </c>
      <c r="P62" s="21">
        <v>12431.565217391304</v>
      </c>
    </row>
    <row r="63" spans="1:16" x14ac:dyDescent="0.75">
      <c r="A63" s="4">
        <v>42005</v>
      </c>
      <c r="B63" s="7">
        <f t="shared" si="0"/>
        <v>12625</v>
      </c>
      <c r="C63" s="5">
        <v>4.9887471899999998</v>
      </c>
      <c r="D63" s="5">
        <v>1.6316299999999999</v>
      </c>
      <c r="E63" s="8">
        <f t="shared" si="1"/>
        <v>3.3571171899999999</v>
      </c>
      <c r="F63" s="5">
        <f>Sheet3!D79/Sheet3!C79</f>
        <v>0.30487802003535652</v>
      </c>
      <c r="G63" s="5">
        <f>Sheet3!E79/Sheet3!F79</f>
        <v>0.95106192776552401</v>
      </c>
      <c r="H63" s="6">
        <f t="shared" si="2"/>
        <v>0.32056589706167016</v>
      </c>
      <c r="I63" s="6">
        <f>LN(Sheet3!B79)</f>
        <v>13.993022157103244</v>
      </c>
      <c r="J63" s="5">
        <v>7.75</v>
      </c>
      <c r="K63" s="5">
        <v>0.11</v>
      </c>
      <c r="L63" s="8">
        <f t="shared" si="3"/>
        <v>7.64</v>
      </c>
      <c r="M63" s="6">
        <v>163.68454545454549</v>
      </c>
      <c r="O63" s="21">
        <v>12625</v>
      </c>
      <c r="P63" s="21">
        <v>12573.59090909091</v>
      </c>
    </row>
    <row r="64" spans="1:16" x14ac:dyDescent="0.75">
      <c r="A64" s="4">
        <v>42036</v>
      </c>
      <c r="B64" s="7">
        <f t="shared" si="0"/>
        <v>12863</v>
      </c>
      <c r="C64" s="5">
        <v>4.9612258200000001</v>
      </c>
      <c r="D64" s="5">
        <v>1.68808</v>
      </c>
      <c r="E64" s="8">
        <f t="shared" si="1"/>
        <v>3.2731458199999999</v>
      </c>
      <c r="F64" s="5">
        <f>Sheet3!D80/Sheet3!C80</f>
        <v>0.30609279999274519</v>
      </c>
      <c r="G64" s="5">
        <f>Sheet3!E80/Sheet3!F80</f>
        <v>1.0542797674399573</v>
      </c>
      <c r="H64" s="6">
        <f t="shared" si="2"/>
        <v>0.29033356177934772</v>
      </c>
      <c r="I64" s="6">
        <f>LN(Sheet3!B80)</f>
        <v>14.004186797590785</v>
      </c>
      <c r="J64" s="5">
        <v>7.5</v>
      </c>
      <c r="K64" s="5">
        <v>0.11</v>
      </c>
      <c r="L64" s="8">
        <f t="shared" si="3"/>
        <v>7.39</v>
      </c>
      <c r="M64" s="6">
        <v>150.06445000000002</v>
      </c>
      <c r="O64" s="21">
        <v>12863</v>
      </c>
      <c r="P64" s="21">
        <v>12762.75</v>
      </c>
    </row>
    <row r="65" spans="1:16" x14ac:dyDescent="0.75">
      <c r="A65" s="4">
        <v>42064</v>
      </c>
      <c r="B65" s="7">
        <f t="shared" si="0"/>
        <v>13084</v>
      </c>
      <c r="C65" s="5">
        <v>5.0438187599999997</v>
      </c>
      <c r="D65" s="5">
        <v>1.7453799999999999</v>
      </c>
      <c r="E65" s="8">
        <f t="shared" si="1"/>
        <v>3.2984387599999998</v>
      </c>
      <c r="F65" s="5">
        <f>Sheet3!D81/Sheet3!C81</f>
        <v>0.28280644022424706</v>
      </c>
      <c r="G65" s="5">
        <f>Sheet3!E81/Sheet3!F81</f>
        <v>1.0163816258329457</v>
      </c>
      <c r="H65" s="6">
        <f t="shared" si="2"/>
        <v>0.27824828099630528</v>
      </c>
      <c r="I65" s="6">
        <f>LN(Sheet3!B81)</f>
        <v>13.988775342396069</v>
      </c>
      <c r="J65" s="5">
        <v>7.5</v>
      </c>
      <c r="K65" s="5">
        <v>0.11</v>
      </c>
      <c r="L65" s="8">
        <f t="shared" si="3"/>
        <v>7.39</v>
      </c>
      <c r="M65" s="6">
        <v>152.01759090909093</v>
      </c>
      <c r="O65" s="21">
        <v>13084</v>
      </c>
      <c r="P65" s="21">
        <v>13067.363636363636</v>
      </c>
    </row>
    <row r="66" spans="1:16" x14ac:dyDescent="0.75">
      <c r="A66" s="4">
        <v>42095</v>
      </c>
      <c r="B66" s="7">
        <f t="shared" si="0"/>
        <v>12937</v>
      </c>
      <c r="C66" s="5">
        <v>5.0409226199999999</v>
      </c>
      <c r="D66" s="5">
        <v>1.8028299999999999</v>
      </c>
      <c r="E66" s="8">
        <f t="shared" si="1"/>
        <v>3.2380926199999998</v>
      </c>
      <c r="F66" s="5">
        <f>Sheet3!D82/Sheet3!C82</f>
        <v>0.29706814421269634</v>
      </c>
      <c r="G66" s="5">
        <f>Sheet3!E82/Sheet3!F82</f>
        <v>1.0458626583200923</v>
      </c>
      <c r="H66" s="6">
        <f t="shared" si="2"/>
        <v>0.28404125708996958</v>
      </c>
      <c r="I66" s="6">
        <f>LN(Sheet3!B82)</f>
        <v>13.964600028595667</v>
      </c>
      <c r="J66" s="5">
        <v>7.5</v>
      </c>
      <c r="K66" s="5">
        <v>0.12</v>
      </c>
      <c r="L66" s="8">
        <f t="shared" si="3"/>
        <v>7.38</v>
      </c>
      <c r="M66" s="6">
        <v>157.65195454545452</v>
      </c>
      <c r="O66" s="21">
        <v>12937</v>
      </c>
      <c r="P66" s="21">
        <v>12947.59090909091</v>
      </c>
    </row>
    <row r="67" spans="1:16" x14ac:dyDescent="0.75">
      <c r="A67" s="4">
        <v>42125</v>
      </c>
      <c r="B67" s="7">
        <f t="shared" si="0"/>
        <v>13211</v>
      </c>
      <c r="C67" s="5">
        <v>5.0385079299999997</v>
      </c>
      <c r="D67" s="5">
        <v>1.7509399999999999</v>
      </c>
      <c r="E67" s="8">
        <f t="shared" si="1"/>
        <v>3.2875679299999998</v>
      </c>
      <c r="F67" s="5">
        <f>Sheet3!D83/Sheet3!C83</f>
        <v>0.30701862717723066</v>
      </c>
      <c r="G67" s="5">
        <f>Sheet3!E83/Sheet3!F83</f>
        <v>0.98616606127897899</v>
      </c>
      <c r="H67" s="6">
        <f t="shared" si="2"/>
        <v>0.31132548485703504</v>
      </c>
      <c r="I67" s="6">
        <f>LN(Sheet3!B83)</f>
        <v>13.988622822434841</v>
      </c>
      <c r="J67" s="5">
        <v>7.5</v>
      </c>
      <c r="K67" s="5">
        <v>0.12</v>
      </c>
      <c r="L67" s="8">
        <f t="shared" si="3"/>
        <v>7.38</v>
      </c>
      <c r="M67" s="6">
        <v>164.48228571428569</v>
      </c>
      <c r="O67" s="21">
        <v>13211</v>
      </c>
      <c r="P67" s="21">
        <v>13133.238095238095</v>
      </c>
    </row>
    <row r="68" spans="1:16" x14ac:dyDescent="0.75">
      <c r="A68" s="4">
        <v>42156</v>
      </c>
      <c r="B68" s="7">
        <f t="shared" ref="B68:B131" si="4">O68</f>
        <v>13332</v>
      </c>
      <c r="C68" s="5">
        <v>5.04442799</v>
      </c>
      <c r="D68" s="5">
        <v>1.7772699999999999</v>
      </c>
      <c r="E68" s="8">
        <f t="shared" ref="E68:E131" si="5">C68-D68</f>
        <v>3.2671579900000003</v>
      </c>
      <c r="F68" s="5">
        <f>Sheet3!D84/Sheet3!C84</f>
        <v>0.330526428707694</v>
      </c>
      <c r="G68" s="5">
        <f>Sheet3!E84/Sheet3!F84</f>
        <v>0.98547221474220204</v>
      </c>
      <c r="H68" s="6">
        <f t="shared" ref="H68:H131" si="6">F68/G68</f>
        <v>0.33539903384709752</v>
      </c>
      <c r="I68" s="6">
        <f>LN(Sheet3!B84)</f>
        <v>13.989698677853172</v>
      </c>
      <c r="J68" s="5">
        <v>7.5</v>
      </c>
      <c r="K68" s="5">
        <v>0.13</v>
      </c>
      <c r="L68" s="8">
        <f t="shared" ref="L68:L131" si="7">J68-K68</f>
        <v>7.37</v>
      </c>
      <c r="M68" s="6">
        <v>172.51095454545452</v>
      </c>
      <c r="O68" s="21">
        <v>13332</v>
      </c>
      <c r="P68" s="21">
        <v>13305.90909090909</v>
      </c>
    </row>
    <row r="69" spans="1:16" x14ac:dyDescent="0.75">
      <c r="A69" s="4">
        <v>42186</v>
      </c>
      <c r="B69" s="7">
        <f t="shared" si="4"/>
        <v>13481</v>
      </c>
      <c r="C69" s="5">
        <v>4.8618784499999999</v>
      </c>
      <c r="D69" s="5">
        <v>1.83463</v>
      </c>
      <c r="E69" s="8">
        <f t="shared" si="5"/>
        <v>3.0272484500000001</v>
      </c>
      <c r="F69" s="5">
        <f>Sheet3!D85/Sheet3!C85</f>
        <v>0.28027729456081468</v>
      </c>
      <c r="G69" s="5">
        <f>Sheet3!E85/Sheet3!F85</f>
        <v>0.96985635592070851</v>
      </c>
      <c r="H69" s="6">
        <f t="shared" si="6"/>
        <v>0.28898845983716892</v>
      </c>
      <c r="I69" s="6">
        <f>LN(Sheet3!B85)</f>
        <v>13.978976790129162</v>
      </c>
      <c r="J69" s="5">
        <v>7.5</v>
      </c>
      <c r="K69" s="5">
        <v>0.13</v>
      </c>
      <c r="L69" s="8">
        <f t="shared" si="7"/>
        <v>7.37</v>
      </c>
      <c r="M69" s="6">
        <v>172.86465217391304</v>
      </c>
      <c r="O69" s="21">
        <v>13481</v>
      </c>
      <c r="P69" s="21">
        <v>13376.565217391304</v>
      </c>
    </row>
    <row r="70" spans="1:16" x14ac:dyDescent="0.75">
      <c r="A70" s="4">
        <v>42217</v>
      </c>
      <c r="B70" s="7">
        <f t="shared" si="4"/>
        <v>14027</v>
      </c>
      <c r="C70" s="5">
        <v>4.92208983</v>
      </c>
      <c r="D70" s="5">
        <v>1.85063</v>
      </c>
      <c r="E70" s="8">
        <f t="shared" si="5"/>
        <v>3.0714598300000002</v>
      </c>
      <c r="F70" s="5">
        <f>Sheet3!D86/Sheet3!C86</f>
        <v>0.30515148450987917</v>
      </c>
      <c r="G70" s="5">
        <f>Sheet3!E86/Sheet3!F86</f>
        <v>0.99942120925818179</v>
      </c>
      <c r="H70" s="6">
        <f t="shared" si="6"/>
        <v>0.30532820564852448</v>
      </c>
      <c r="I70" s="6">
        <f>LN(Sheet3!B86)</f>
        <v>13.979870100993196</v>
      </c>
      <c r="J70" s="5">
        <v>7.5</v>
      </c>
      <c r="K70" s="5">
        <v>0.14000000000000001</v>
      </c>
      <c r="L70" s="8">
        <f t="shared" si="7"/>
        <v>7.36</v>
      </c>
      <c r="M70" s="6">
        <v>211.23342857142862</v>
      </c>
      <c r="O70" s="21">
        <v>14027</v>
      </c>
      <c r="P70" s="21">
        <v>13789.952380952382</v>
      </c>
    </row>
    <row r="71" spans="1:16" x14ac:dyDescent="0.75">
      <c r="A71" s="4">
        <v>42248</v>
      </c>
      <c r="B71" s="7">
        <f t="shared" si="4"/>
        <v>14657</v>
      </c>
      <c r="C71" s="5">
        <v>5.0721988700000002</v>
      </c>
      <c r="D71" s="5">
        <v>1.8971</v>
      </c>
      <c r="E71" s="8">
        <f t="shared" si="5"/>
        <v>3.1750988700000002</v>
      </c>
      <c r="F71" s="5">
        <f>Sheet3!D87/Sheet3!C87</f>
        <v>0.30605750376239649</v>
      </c>
      <c r="G71" s="5">
        <f>Sheet3!E87/Sheet3!F87</f>
        <v>1.0829256959933578</v>
      </c>
      <c r="H71" s="6">
        <f t="shared" si="6"/>
        <v>0.28262096364945222</v>
      </c>
      <c r="I71" s="6">
        <f>LN(Sheet3!B87)</f>
        <v>14.024206767210616</v>
      </c>
      <c r="J71" s="5">
        <v>6.25</v>
      </c>
      <c r="K71" s="5">
        <v>0.14000000000000001</v>
      </c>
      <c r="L71" s="8">
        <f t="shared" si="7"/>
        <v>6.11</v>
      </c>
      <c r="M71" s="6">
        <v>246.19090909090912</v>
      </c>
      <c r="O71" s="21">
        <v>14657</v>
      </c>
      <c r="P71" s="21">
        <v>14411.045454545454</v>
      </c>
    </row>
    <row r="72" spans="1:16" x14ac:dyDescent="0.75">
      <c r="A72" s="4">
        <v>42278</v>
      </c>
      <c r="B72" s="7">
        <f t="shared" si="4"/>
        <v>13639</v>
      </c>
      <c r="C72" s="5">
        <v>5.0218738600000004</v>
      </c>
      <c r="D72" s="5">
        <v>1.91353</v>
      </c>
      <c r="E72" s="8">
        <f t="shared" si="5"/>
        <v>3.1083438600000006</v>
      </c>
      <c r="F72" s="5">
        <f>Sheet3!D88/Sheet3!C88</f>
        <v>0.27871003763884639</v>
      </c>
      <c r="G72" s="5">
        <f>Sheet3!E88/Sheet3!F88</f>
        <v>1.0554764952382494</v>
      </c>
      <c r="H72" s="6">
        <f t="shared" si="6"/>
        <v>0.26406086624973496</v>
      </c>
      <c r="I72" s="6">
        <f>LN(Sheet3!B88)</f>
        <v>13.933084265046293</v>
      </c>
      <c r="J72" s="5">
        <v>6.25</v>
      </c>
      <c r="K72" s="5">
        <v>0.12</v>
      </c>
      <c r="L72" s="8">
        <f t="shared" si="7"/>
        <v>6.13</v>
      </c>
      <c r="M72" s="6">
        <v>228.3147727272727</v>
      </c>
      <c r="O72" s="21">
        <v>13639</v>
      </c>
      <c r="P72" s="21">
        <v>13777.59090909091</v>
      </c>
    </row>
    <row r="73" spans="1:16" x14ac:dyDescent="0.75">
      <c r="A73" s="4">
        <v>42309</v>
      </c>
      <c r="B73" s="7">
        <f t="shared" si="4"/>
        <v>13840</v>
      </c>
      <c r="C73" s="5">
        <v>4.77487291</v>
      </c>
      <c r="D73" s="5">
        <v>1.99743</v>
      </c>
      <c r="E73" s="8">
        <f t="shared" si="5"/>
        <v>2.77744291</v>
      </c>
      <c r="F73" s="5">
        <f>Sheet3!D89/Sheet3!C89</f>
        <v>0.26753894549723134</v>
      </c>
      <c r="G73" s="5">
        <f>Sheet3!E89/Sheet3!F89</f>
        <v>1.0761781221482951</v>
      </c>
      <c r="H73" s="6">
        <f t="shared" si="6"/>
        <v>0.24860098899163927</v>
      </c>
      <c r="I73" s="6">
        <f>LN(Sheet3!B89)</f>
        <v>13.936708493983353</v>
      </c>
      <c r="J73" s="5">
        <v>6.25</v>
      </c>
      <c r="K73" s="5">
        <v>0.12</v>
      </c>
      <c r="L73" s="8">
        <f t="shared" si="7"/>
        <v>6.13</v>
      </c>
      <c r="M73" s="6">
        <v>217.1787619047619</v>
      </c>
      <c r="O73" s="21">
        <v>13840</v>
      </c>
      <c r="P73" s="21">
        <v>13677.333333333334</v>
      </c>
    </row>
    <row r="74" spans="1:16" x14ac:dyDescent="0.75">
      <c r="A74" s="4">
        <v>42339</v>
      </c>
      <c r="B74" s="7">
        <f t="shared" si="4"/>
        <v>13795</v>
      </c>
      <c r="C74" s="5">
        <v>3.95398994</v>
      </c>
      <c r="D74" s="5">
        <v>2.07151</v>
      </c>
      <c r="E74" s="8">
        <f t="shared" si="5"/>
        <v>1.8824799400000001</v>
      </c>
      <c r="F74" s="5">
        <f>Sheet3!D90/Sheet3!C90</f>
        <v>0.27785487844400875</v>
      </c>
      <c r="G74" s="5">
        <f>Sheet3!E90/Sheet3!F90</f>
        <v>1.1501413120237887</v>
      </c>
      <c r="H74" s="6">
        <f t="shared" si="6"/>
        <v>0.24158325202239306</v>
      </c>
      <c r="I74" s="6">
        <f>LN(Sheet3!B90)</f>
        <v>13.978172142786294</v>
      </c>
      <c r="J74" s="5">
        <v>6.25</v>
      </c>
      <c r="K74" s="5">
        <v>0.24</v>
      </c>
      <c r="L74" s="8">
        <f t="shared" si="7"/>
        <v>6.01</v>
      </c>
      <c r="M74" s="6">
        <v>236.62921739130437</v>
      </c>
      <c r="O74" s="21">
        <v>13795</v>
      </c>
      <c r="P74" s="21">
        <v>13836.173913043478</v>
      </c>
    </row>
    <row r="75" spans="1:16" x14ac:dyDescent="0.75">
      <c r="A75" s="4">
        <v>42370</v>
      </c>
      <c r="B75" s="7">
        <f t="shared" si="4"/>
        <v>13846</v>
      </c>
      <c r="C75" s="5">
        <v>3.6173633399999998</v>
      </c>
      <c r="D75" s="5">
        <v>2.1450200000000001</v>
      </c>
      <c r="E75" s="8">
        <f t="shared" si="5"/>
        <v>1.4723433399999997</v>
      </c>
      <c r="F75" s="5">
        <f>Sheet3!D91/Sheet3!C91</f>
        <v>0.26726329176515612</v>
      </c>
      <c r="G75" s="5">
        <f>Sheet3!E91/Sheet3!F91</f>
        <v>1.0671979737390482</v>
      </c>
      <c r="H75" s="6">
        <f t="shared" si="6"/>
        <v>0.25043459446307709</v>
      </c>
      <c r="I75" s="6">
        <f>LN(Sheet3!B91)</f>
        <v>13.949331382449355</v>
      </c>
      <c r="J75" s="5">
        <v>7.25</v>
      </c>
      <c r="K75" s="5">
        <v>0.34</v>
      </c>
      <c r="L75" s="8">
        <f t="shared" si="7"/>
        <v>6.91</v>
      </c>
      <c r="M75" s="6">
        <v>244.64495238095242</v>
      </c>
      <c r="O75" s="21">
        <v>13846</v>
      </c>
      <c r="P75" s="21">
        <v>13887.190476190477</v>
      </c>
    </row>
    <row r="76" spans="1:16" x14ac:dyDescent="0.75">
      <c r="A76" s="4">
        <v>42401</v>
      </c>
      <c r="B76" s="7">
        <f t="shared" si="4"/>
        <v>13395</v>
      </c>
      <c r="C76" s="5">
        <v>3.5873241899999999</v>
      </c>
      <c r="D76" s="5">
        <v>2.2225700000000002</v>
      </c>
      <c r="E76" s="8">
        <f t="shared" si="5"/>
        <v>1.3647541899999998</v>
      </c>
      <c r="F76" s="5">
        <f>Sheet3!D92/Sheet3!C92</f>
        <v>0.29242829749099364</v>
      </c>
      <c r="G76" s="5">
        <f>Sheet3!E92/Sheet3!F92</f>
        <v>1.2556629045912064</v>
      </c>
      <c r="H76" s="6">
        <f t="shared" si="6"/>
        <v>0.23288758186752087</v>
      </c>
      <c r="I76" s="6">
        <f>LN(Sheet3!B92)</f>
        <v>13.95195437535947</v>
      </c>
      <c r="J76" s="5">
        <v>7</v>
      </c>
      <c r="K76" s="5">
        <v>0.38</v>
      </c>
      <c r="L76" s="8">
        <f t="shared" si="7"/>
        <v>6.62</v>
      </c>
      <c r="M76" s="6">
        <v>243.35871428571434</v>
      </c>
      <c r="O76" s="21">
        <v>13395</v>
      </c>
      <c r="P76" s="21">
        <v>13513.380952380952</v>
      </c>
    </row>
    <row r="77" spans="1:16" x14ac:dyDescent="0.75">
      <c r="A77" s="4">
        <v>42430</v>
      </c>
      <c r="B77" s="7">
        <f t="shared" si="4"/>
        <v>13276</v>
      </c>
      <c r="C77" s="5">
        <v>3.4969379599999999</v>
      </c>
      <c r="D77" s="5">
        <v>2.1424300000000001</v>
      </c>
      <c r="E77" s="8">
        <f t="shared" si="5"/>
        <v>1.3545079599999998</v>
      </c>
      <c r="F77" s="5">
        <f>Sheet3!D93/Sheet3!C93</f>
        <v>0.27451518408076908</v>
      </c>
      <c r="G77" s="5">
        <f>Sheet3!E93/Sheet3!F93</f>
        <v>1.2636042320866714</v>
      </c>
      <c r="H77" s="6">
        <f t="shared" si="6"/>
        <v>0.21724775614865138</v>
      </c>
      <c r="I77" s="6">
        <f>LN(Sheet3!B93)</f>
        <v>13.986773973259377</v>
      </c>
      <c r="J77" s="5">
        <v>6.75</v>
      </c>
      <c r="K77" s="5">
        <v>0.36</v>
      </c>
      <c r="L77" s="8">
        <f t="shared" si="7"/>
        <v>6.39</v>
      </c>
      <c r="M77" s="6">
        <v>204.34500000000003</v>
      </c>
      <c r="O77" s="21">
        <v>13276</v>
      </c>
      <c r="P77" s="21">
        <v>13198.826086956522</v>
      </c>
    </row>
    <row r="78" spans="1:16" x14ac:dyDescent="0.75">
      <c r="A78" s="4">
        <v>42461</v>
      </c>
      <c r="B78" s="7">
        <f t="shared" si="4"/>
        <v>13204</v>
      </c>
      <c r="C78" s="5">
        <v>3.4088896800000001</v>
      </c>
      <c r="D78" s="5">
        <v>2.15665</v>
      </c>
      <c r="E78" s="8">
        <f t="shared" si="5"/>
        <v>1.2522396800000002</v>
      </c>
      <c r="F78" s="5">
        <f>Sheet3!D94/Sheet3!C94</f>
        <v>0.29550616828604875</v>
      </c>
      <c r="G78" s="5">
        <f>Sheet3!E94/Sheet3!F94</f>
        <v>1.1123210531132131</v>
      </c>
      <c r="H78" s="6">
        <f t="shared" si="6"/>
        <v>0.26566625477327172</v>
      </c>
      <c r="I78" s="6">
        <f>LN(Sheet3!B94)</f>
        <v>13.981471701738924</v>
      </c>
      <c r="J78" s="5">
        <v>6.75</v>
      </c>
      <c r="K78" s="5">
        <v>0.37</v>
      </c>
      <c r="L78" s="8">
        <f t="shared" si="7"/>
        <v>6.38</v>
      </c>
      <c r="M78" s="6">
        <v>198.41947619047616</v>
      </c>
      <c r="O78" s="21">
        <v>13204</v>
      </c>
      <c r="P78" s="21">
        <v>13172.857142857143</v>
      </c>
    </row>
    <row r="79" spans="1:16" x14ac:dyDescent="0.75">
      <c r="A79" s="4">
        <v>42491</v>
      </c>
      <c r="B79" s="7">
        <f t="shared" si="4"/>
        <v>13615</v>
      </c>
      <c r="C79" s="5">
        <v>3.40989399</v>
      </c>
      <c r="D79" s="5">
        <v>2.2545600000000001</v>
      </c>
      <c r="E79" s="8">
        <f t="shared" si="5"/>
        <v>1.1553339899999999</v>
      </c>
      <c r="F79" s="5">
        <f>Sheet3!D95/Sheet3!C95</f>
        <v>0.28352355746615177</v>
      </c>
      <c r="G79" s="5">
        <f>Sheet3!E95/Sheet3!F95</f>
        <v>1.178822132018928</v>
      </c>
      <c r="H79" s="6">
        <f t="shared" si="6"/>
        <v>0.24051428096329575</v>
      </c>
      <c r="I79" s="6">
        <f>LN(Sheet3!B95)</f>
        <v>13.966677356155564</v>
      </c>
      <c r="J79" s="5">
        <v>6.75</v>
      </c>
      <c r="K79" s="5">
        <v>0.37</v>
      </c>
      <c r="L79" s="8">
        <f t="shared" si="7"/>
        <v>6.38</v>
      </c>
      <c r="M79" s="6">
        <v>190.16877272727277</v>
      </c>
      <c r="O79" s="21">
        <v>13615</v>
      </c>
      <c r="P79" s="21">
        <v>13416.90909090909</v>
      </c>
    </row>
    <row r="80" spans="1:16" x14ac:dyDescent="0.75">
      <c r="A80" s="4">
        <v>42522</v>
      </c>
      <c r="B80" s="7">
        <f t="shared" si="4"/>
        <v>13180</v>
      </c>
      <c r="C80" s="5">
        <v>3.4892942100000002</v>
      </c>
      <c r="D80" s="5">
        <v>2.2622100000000001</v>
      </c>
      <c r="E80" s="8">
        <f t="shared" si="5"/>
        <v>1.2270842100000001</v>
      </c>
      <c r="F80" s="5">
        <f>Sheet3!D96/Sheet3!C96</f>
        <v>0.29499751756066522</v>
      </c>
      <c r="G80" s="5">
        <f>Sheet3!E96/Sheet3!F96</f>
        <v>1.1162852169582194</v>
      </c>
      <c r="H80" s="6">
        <f t="shared" si="6"/>
        <v>0.26426715419963004</v>
      </c>
      <c r="I80" s="6">
        <f>LN(Sheet3!B96)</f>
        <v>14.015957903940331</v>
      </c>
      <c r="J80" s="5">
        <v>6.5</v>
      </c>
      <c r="K80" s="5">
        <v>0.38</v>
      </c>
      <c r="L80" s="8">
        <f t="shared" si="7"/>
        <v>6.12</v>
      </c>
      <c r="M80" s="6">
        <v>192.41354545454544</v>
      </c>
      <c r="O80" s="21">
        <v>13180</v>
      </c>
      <c r="P80" s="21">
        <v>13338.045454545454</v>
      </c>
    </row>
    <row r="81" spans="1:16" x14ac:dyDescent="0.75">
      <c r="A81" s="4">
        <v>42552</v>
      </c>
      <c r="B81" s="7">
        <f t="shared" si="4"/>
        <v>13094</v>
      </c>
      <c r="C81" s="5">
        <v>3.4861257499999998</v>
      </c>
      <c r="D81" s="5">
        <v>2.17014</v>
      </c>
      <c r="E81" s="8">
        <f t="shared" si="5"/>
        <v>1.3159857499999998</v>
      </c>
      <c r="F81" s="5">
        <f>Sheet3!D97/Sheet3!C97</f>
        <v>0.24722003379613167</v>
      </c>
      <c r="G81" s="5">
        <f>Sheet3!E97/Sheet3!F97</f>
        <v>1.124398664292305</v>
      </c>
      <c r="H81" s="6">
        <f t="shared" si="6"/>
        <v>0.21986866548950557</v>
      </c>
      <c r="I81" s="6">
        <f>LN(Sheet3!B97)</f>
        <v>14.011823995258739</v>
      </c>
      <c r="J81" s="5">
        <v>6.5</v>
      </c>
      <c r="K81" s="5">
        <v>0.39</v>
      </c>
      <c r="L81" s="8">
        <f t="shared" si="7"/>
        <v>6.11</v>
      </c>
      <c r="M81" s="6">
        <v>168.7737619047619</v>
      </c>
      <c r="O81" s="21">
        <v>13094</v>
      </c>
      <c r="P81" s="21">
        <v>13117.619047619048</v>
      </c>
    </row>
    <row r="82" spans="1:16" x14ac:dyDescent="0.75">
      <c r="A82" s="4">
        <v>42583</v>
      </c>
      <c r="B82" s="7">
        <f t="shared" si="4"/>
        <v>13300</v>
      </c>
      <c r="C82" s="5">
        <v>3.3196470699999998</v>
      </c>
      <c r="D82" s="5">
        <v>2.3087300000000002</v>
      </c>
      <c r="E82" s="8">
        <f t="shared" si="5"/>
        <v>1.0109170699999996</v>
      </c>
      <c r="F82" s="5">
        <f>Sheet3!D98/Sheet3!C98</f>
        <v>0.27846639090328362</v>
      </c>
      <c r="G82" s="5">
        <f>Sheet3!E98/Sheet3!F98</f>
        <v>1.1305257781627558</v>
      </c>
      <c r="H82" s="6">
        <f t="shared" si="6"/>
        <v>0.2463158260361174</v>
      </c>
      <c r="I82" s="6">
        <f>LN(Sheet3!B98)</f>
        <v>14.053745830208358</v>
      </c>
      <c r="J82" s="5">
        <v>5.25</v>
      </c>
      <c r="K82" s="5">
        <v>0.4</v>
      </c>
      <c r="L82" s="8">
        <f t="shared" si="7"/>
        <v>4.8499999999999996</v>
      </c>
      <c r="M82" s="6">
        <v>146.45617391304344</v>
      </c>
      <c r="O82" s="21">
        <v>13300</v>
      </c>
      <c r="P82" s="21">
        <v>13160.608695652174</v>
      </c>
    </row>
    <row r="83" spans="1:16" x14ac:dyDescent="0.75">
      <c r="A83" s="4">
        <v>42614</v>
      </c>
      <c r="B83" s="7">
        <f t="shared" si="4"/>
        <v>12998</v>
      </c>
      <c r="C83" s="5">
        <v>3.20953292</v>
      </c>
      <c r="D83" s="5">
        <v>2.2711199999999998</v>
      </c>
      <c r="E83" s="8">
        <f t="shared" si="5"/>
        <v>0.93841292000000021</v>
      </c>
      <c r="F83" s="5">
        <f>Sheet3!D99/Sheet3!C99</f>
        <v>0.28495611914943841</v>
      </c>
      <c r="G83" s="5">
        <f>Sheet3!E99/Sheet3!F99</f>
        <v>1.1338044050487708</v>
      </c>
      <c r="H83" s="6">
        <f t="shared" si="6"/>
        <v>0.251327405221345</v>
      </c>
      <c r="I83" s="6">
        <f>LN(Sheet3!B99)</f>
        <v>14.054753550984163</v>
      </c>
      <c r="J83" s="5">
        <v>5</v>
      </c>
      <c r="K83" s="5">
        <v>0.4</v>
      </c>
      <c r="L83" s="8">
        <f t="shared" si="7"/>
        <v>4.5999999999999996</v>
      </c>
      <c r="M83" s="6">
        <v>145.49236363636365</v>
      </c>
      <c r="O83" s="21">
        <v>12998</v>
      </c>
      <c r="P83" s="21">
        <v>13110</v>
      </c>
    </row>
    <row r="84" spans="1:16" x14ac:dyDescent="0.75">
      <c r="A84" s="4">
        <v>42644</v>
      </c>
      <c r="B84" s="7">
        <f t="shared" si="4"/>
        <v>13051</v>
      </c>
      <c r="C84" s="5">
        <v>3.0807949300000002</v>
      </c>
      <c r="D84" s="5">
        <v>2.2045599999999999</v>
      </c>
      <c r="E84" s="8">
        <f t="shared" si="5"/>
        <v>0.8762349300000003</v>
      </c>
      <c r="F84" s="5">
        <f>Sheet3!D100/Sheet3!C100</f>
        <v>0.26897786762386894</v>
      </c>
      <c r="G84" s="5">
        <f>Sheet3!E100/Sheet3!F100</f>
        <v>1.0768197419799934</v>
      </c>
      <c r="H84" s="6">
        <f t="shared" si="6"/>
        <v>0.24978913102882763</v>
      </c>
      <c r="I84" s="6">
        <f>LN(Sheet3!B100)</f>
        <v>14.058334509497396</v>
      </c>
      <c r="J84" s="5">
        <v>4.75</v>
      </c>
      <c r="K84" s="5">
        <v>0.4</v>
      </c>
      <c r="L84" s="8">
        <f t="shared" si="7"/>
        <v>4.3499999999999996</v>
      </c>
      <c r="M84" s="6">
        <v>151.74176190476194</v>
      </c>
      <c r="O84" s="21">
        <v>13051</v>
      </c>
      <c r="P84" s="21">
        <v>13018.380952380952</v>
      </c>
    </row>
    <row r="85" spans="1:16" x14ac:dyDescent="0.75">
      <c r="A85" s="4">
        <v>42675</v>
      </c>
      <c r="B85" s="7">
        <f t="shared" si="4"/>
        <v>13563</v>
      </c>
      <c r="C85" s="5">
        <v>3.06705944</v>
      </c>
      <c r="D85" s="5">
        <v>2.1454200000000001</v>
      </c>
      <c r="E85" s="8">
        <f t="shared" si="5"/>
        <v>0.92163943999999987</v>
      </c>
      <c r="F85" s="5">
        <f>Sheet3!D101/Sheet3!C101</f>
        <v>0.28972365512706333</v>
      </c>
      <c r="G85" s="5">
        <f>Sheet3!E101/Sheet3!F101</f>
        <v>1.0106768157372059</v>
      </c>
      <c r="H85" s="6">
        <f t="shared" si="6"/>
        <v>0.28666300702241165</v>
      </c>
      <c r="I85" s="6">
        <f>LN(Sheet3!B101)</f>
        <v>14.048908053442407</v>
      </c>
      <c r="J85" s="5">
        <v>4.75</v>
      </c>
      <c r="K85" s="5">
        <v>0.41</v>
      </c>
      <c r="L85" s="8">
        <f t="shared" si="7"/>
        <v>4.34</v>
      </c>
      <c r="M85" s="6">
        <v>170.87813636363637</v>
      </c>
      <c r="O85" s="21">
        <v>13563</v>
      </c>
      <c r="P85" s="21">
        <v>13314.954545454546</v>
      </c>
    </row>
    <row r="86" spans="1:16" x14ac:dyDescent="0.75">
      <c r="A86" s="4">
        <v>42705</v>
      </c>
      <c r="B86" s="7">
        <f t="shared" si="4"/>
        <v>13436</v>
      </c>
      <c r="C86" s="5">
        <v>3.06881051</v>
      </c>
      <c r="D86" s="5">
        <v>2.19712</v>
      </c>
      <c r="E86" s="8">
        <f t="shared" si="5"/>
        <v>0.87169051000000009</v>
      </c>
      <c r="F86" s="5">
        <f>Sheet3!D102/Sheet3!C102</f>
        <v>0.30366276538526554</v>
      </c>
      <c r="G86" s="5">
        <f>Sheet3!E102/Sheet3!F102</f>
        <v>1.0161143170971536</v>
      </c>
      <c r="H86" s="6">
        <f t="shared" si="6"/>
        <v>0.29884704926978356</v>
      </c>
      <c r="I86" s="6">
        <f>LN(Sheet3!B102)</f>
        <v>14.077057627080119</v>
      </c>
      <c r="J86" s="5">
        <v>4.75</v>
      </c>
      <c r="K86" s="5">
        <v>0.54</v>
      </c>
      <c r="L86" s="8">
        <f t="shared" si="7"/>
        <v>4.21</v>
      </c>
      <c r="M86" s="6">
        <v>163.19881818181821</v>
      </c>
      <c r="O86" s="21">
        <v>13436</v>
      </c>
      <c r="P86" s="21">
        <v>13409.818181818182</v>
      </c>
    </row>
    <row r="87" spans="1:16" x14ac:dyDescent="0.75">
      <c r="A87" s="4">
        <v>42736</v>
      </c>
      <c r="B87" s="7">
        <f t="shared" si="4"/>
        <v>13343</v>
      </c>
      <c r="C87" s="5">
        <v>3.3531592099999998</v>
      </c>
      <c r="D87" s="5">
        <v>2.25021</v>
      </c>
      <c r="E87" s="8">
        <f t="shared" si="5"/>
        <v>1.1029492099999998</v>
      </c>
      <c r="F87" s="5">
        <f>Sheet3!D103/Sheet3!C103</f>
        <v>0.30752604495446517</v>
      </c>
      <c r="G87" s="5">
        <f>Sheet3!E103/Sheet3!F103</f>
        <v>0.97528944241930271</v>
      </c>
      <c r="H87" s="6">
        <f t="shared" si="6"/>
        <v>0.31531772167205679</v>
      </c>
      <c r="I87" s="6">
        <f>LN(Sheet3!B103)</f>
        <v>14.082060190010232</v>
      </c>
      <c r="J87" s="5">
        <v>4.75</v>
      </c>
      <c r="K87" s="5">
        <v>0.65</v>
      </c>
      <c r="L87" s="8">
        <f t="shared" si="7"/>
        <v>4.0999999999999996</v>
      </c>
      <c r="M87" s="6">
        <v>151.86809090909094</v>
      </c>
      <c r="O87" s="21">
        <v>13343</v>
      </c>
      <c r="P87" s="21">
        <v>13366.09090909091</v>
      </c>
    </row>
    <row r="88" spans="1:16" x14ac:dyDescent="0.75">
      <c r="A88" s="4">
        <v>42767</v>
      </c>
      <c r="B88" s="7">
        <f t="shared" si="4"/>
        <v>13347</v>
      </c>
      <c r="C88" s="5">
        <v>3.41153218</v>
      </c>
      <c r="D88" s="5">
        <v>2.2353499999999999</v>
      </c>
      <c r="E88" s="8">
        <f t="shared" si="5"/>
        <v>1.1761821800000001</v>
      </c>
      <c r="F88" s="5">
        <f>Sheet3!D104/Sheet3!C104</f>
        <v>0.33671515373155736</v>
      </c>
      <c r="G88" s="5">
        <f>Sheet3!E104/Sheet3!F104</f>
        <v>1.1127603604171865</v>
      </c>
      <c r="H88" s="6">
        <f t="shared" si="6"/>
        <v>0.30259448998104049</v>
      </c>
      <c r="I88" s="6">
        <f>LN(Sheet3!B104)</f>
        <v>14.112221420444248</v>
      </c>
      <c r="J88" s="5">
        <v>4.75</v>
      </c>
      <c r="K88" s="5">
        <v>0.66</v>
      </c>
      <c r="L88" s="8">
        <f t="shared" si="7"/>
        <v>4.09</v>
      </c>
      <c r="M88" s="6">
        <v>136.8956</v>
      </c>
      <c r="O88" s="21">
        <v>13347</v>
      </c>
      <c r="P88" s="21">
        <v>13337.75</v>
      </c>
    </row>
    <row r="89" spans="1:16" x14ac:dyDescent="0.75">
      <c r="A89" s="4">
        <v>42795</v>
      </c>
      <c r="B89" s="7">
        <f t="shared" si="4"/>
        <v>13321</v>
      </c>
      <c r="C89" s="5">
        <v>3.3016036400000002</v>
      </c>
      <c r="D89" s="5">
        <v>2.0458500000000002</v>
      </c>
      <c r="E89" s="8">
        <f t="shared" si="5"/>
        <v>1.25575364</v>
      </c>
      <c r="F89" s="5">
        <f>Sheet3!D105/Sheet3!C105</f>
        <v>0.30806673218988878</v>
      </c>
      <c r="G89" s="5">
        <f>Sheet3!E105/Sheet3!F105</f>
        <v>1.0143663035108854</v>
      </c>
      <c r="H89" s="6">
        <f t="shared" si="6"/>
        <v>0.30370363361205921</v>
      </c>
      <c r="I89" s="6">
        <f>LN(Sheet3!B105)</f>
        <v>14.148515454589511</v>
      </c>
      <c r="J89" s="5">
        <v>4.75</v>
      </c>
      <c r="K89" s="5">
        <v>0.79</v>
      </c>
      <c r="L89" s="8">
        <f t="shared" si="7"/>
        <v>3.96</v>
      </c>
      <c r="M89" s="6">
        <v>128.88608695652175</v>
      </c>
      <c r="O89" s="21">
        <v>13321</v>
      </c>
      <c r="P89" s="21">
        <v>13343.260869565218</v>
      </c>
    </row>
    <row r="90" spans="1:16" x14ac:dyDescent="0.75">
      <c r="A90" s="4">
        <v>42826</v>
      </c>
      <c r="B90" s="7">
        <f t="shared" si="4"/>
        <v>13327</v>
      </c>
      <c r="C90" s="5">
        <v>3.2793903599999998</v>
      </c>
      <c r="D90" s="5">
        <v>1.8965700000000001</v>
      </c>
      <c r="E90" s="8">
        <f t="shared" si="5"/>
        <v>1.3828203599999997</v>
      </c>
      <c r="F90" s="5">
        <f>Sheet3!D106/Sheet3!C106</f>
        <v>0.29988971475189935</v>
      </c>
      <c r="G90" s="5">
        <f>Sheet3!E106/Sheet3!F106</f>
        <v>1.040285960563579</v>
      </c>
      <c r="H90" s="6">
        <f t="shared" si="6"/>
        <v>0.28827622992185042</v>
      </c>
      <c r="I90" s="6">
        <f>LN(Sheet3!B106)</f>
        <v>14.168377822885391</v>
      </c>
      <c r="J90" s="5">
        <v>4.75</v>
      </c>
      <c r="K90" s="5">
        <v>0.9</v>
      </c>
      <c r="L90" s="8">
        <f t="shared" si="7"/>
        <v>3.85</v>
      </c>
      <c r="M90" s="6">
        <v>131.84299999999999</v>
      </c>
      <c r="O90" s="21">
        <v>13327</v>
      </c>
      <c r="P90" s="21">
        <v>13302.2</v>
      </c>
    </row>
    <row r="91" spans="1:16" x14ac:dyDescent="0.75">
      <c r="A91" s="4">
        <v>42856</v>
      </c>
      <c r="B91" s="7">
        <f t="shared" si="4"/>
        <v>13321</v>
      </c>
      <c r="C91" s="5">
        <v>3.20348539</v>
      </c>
      <c r="D91" s="5">
        <v>1.73709</v>
      </c>
      <c r="E91" s="8">
        <f t="shared" si="5"/>
        <v>1.46639539</v>
      </c>
      <c r="F91" s="5">
        <f>Sheet3!D107/Sheet3!C107</f>
        <v>0.32540197652101022</v>
      </c>
      <c r="G91" s="5">
        <f>Sheet3!E107/Sheet3!F107</f>
        <v>1.0888803772903326</v>
      </c>
      <c r="H91" s="6">
        <f t="shared" si="6"/>
        <v>0.29884088583795554</v>
      </c>
      <c r="I91" s="6">
        <f>LN(Sheet3!B107)</f>
        <v>14.184980337768593</v>
      </c>
      <c r="J91" s="5">
        <v>4.75</v>
      </c>
      <c r="K91" s="5">
        <v>0.91</v>
      </c>
      <c r="L91" s="8">
        <f t="shared" si="7"/>
        <v>3.84</v>
      </c>
      <c r="M91" s="6">
        <v>125.85113043478263</v>
      </c>
      <c r="O91" s="21">
        <v>13321</v>
      </c>
      <c r="P91" s="21">
        <v>13322.565217391304</v>
      </c>
    </row>
    <row r="92" spans="1:16" x14ac:dyDescent="0.75">
      <c r="A92" s="4">
        <v>42887</v>
      </c>
      <c r="B92" s="7">
        <f t="shared" si="4"/>
        <v>13319</v>
      </c>
      <c r="C92" s="5">
        <v>3.1332481900000002</v>
      </c>
      <c r="D92" s="5">
        <v>1.69912</v>
      </c>
      <c r="E92" s="8">
        <f t="shared" si="5"/>
        <v>1.4341281900000002</v>
      </c>
      <c r="F92" s="5">
        <f>Sheet3!D108/Sheet3!C108</f>
        <v>0.29227149226439586</v>
      </c>
      <c r="G92" s="5">
        <f>Sheet3!E108/Sheet3!F108</f>
        <v>1.1076606935692916</v>
      </c>
      <c r="H92" s="6">
        <f t="shared" si="6"/>
        <v>0.2638637391046072</v>
      </c>
      <c r="I92" s="6">
        <f>LN(Sheet3!B108)</f>
        <v>14.176001458869353</v>
      </c>
      <c r="J92" s="5">
        <v>4.75</v>
      </c>
      <c r="K92" s="5">
        <v>1.04</v>
      </c>
      <c r="L92" s="8">
        <f t="shared" si="7"/>
        <v>3.71</v>
      </c>
      <c r="M92" s="6">
        <v>116.95295454545455</v>
      </c>
      <c r="O92" s="21">
        <v>13319</v>
      </c>
      <c r="P92" s="21">
        <v>13307.045454545454</v>
      </c>
    </row>
    <row r="93" spans="1:16" x14ac:dyDescent="0.75">
      <c r="A93" s="4">
        <v>42917</v>
      </c>
      <c r="B93" s="7">
        <f t="shared" si="4"/>
        <v>13323</v>
      </c>
      <c r="C93" s="5">
        <v>3.0547305900000001</v>
      </c>
      <c r="D93" s="5">
        <v>1.67696</v>
      </c>
      <c r="E93" s="8">
        <f t="shared" si="5"/>
        <v>1.3777705900000001</v>
      </c>
      <c r="F93" s="5">
        <f>Sheet3!D109/Sheet3!C109</f>
        <v>0.3017700516353613</v>
      </c>
      <c r="G93" s="5">
        <f>Sheet3!E109/Sheet3!F109</f>
        <v>0.97006438052327937</v>
      </c>
      <c r="H93" s="6">
        <f t="shared" si="6"/>
        <v>0.31108249894978957</v>
      </c>
      <c r="I93" s="6">
        <f>LN(Sheet3!B109)</f>
        <v>14.210295818986999</v>
      </c>
      <c r="J93" s="5">
        <v>4.75</v>
      </c>
      <c r="K93" s="5">
        <v>1.1499999999999999</v>
      </c>
      <c r="L93" s="8">
        <f t="shared" si="7"/>
        <v>3.6</v>
      </c>
      <c r="M93" s="6">
        <v>115.39385714285713</v>
      </c>
      <c r="O93" s="21">
        <v>13323</v>
      </c>
      <c r="P93" s="21">
        <v>13346.571428571429</v>
      </c>
    </row>
    <row r="94" spans="1:16" x14ac:dyDescent="0.75">
      <c r="A94" s="4">
        <v>42948</v>
      </c>
      <c r="B94" s="7">
        <f t="shared" si="4"/>
        <v>13351</v>
      </c>
      <c r="C94" s="5">
        <v>2.9762407999999998</v>
      </c>
      <c r="D94" s="5">
        <v>1.65524</v>
      </c>
      <c r="E94" s="8">
        <f t="shared" si="5"/>
        <v>1.3210007999999998</v>
      </c>
      <c r="F94" s="5">
        <f>Sheet3!D110/Sheet3!C110</f>
        <v>0.31904957315989113</v>
      </c>
      <c r="G94" s="5">
        <f>Sheet3!E110/Sheet3!F110</f>
        <v>1.0578221076448027</v>
      </c>
      <c r="H94" s="6">
        <f t="shared" si="6"/>
        <v>0.30160985562141623</v>
      </c>
      <c r="I94" s="6">
        <f>LN(Sheet3!B110)</f>
        <v>14.226747026353754</v>
      </c>
      <c r="J94" s="5">
        <v>4.5</v>
      </c>
      <c r="K94" s="5">
        <v>1.1599999999999999</v>
      </c>
      <c r="L94" s="8">
        <f t="shared" si="7"/>
        <v>3.34</v>
      </c>
      <c r="M94" s="6">
        <v>108.89913043478262</v>
      </c>
      <c r="O94" s="21">
        <v>13351</v>
      </c>
      <c r="P94" s="21">
        <v>13343.130434782608</v>
      </c>
    </row>
    <row r="95" spans="1:16" x14ac:dyDescent="0.75">
      <c r="A95" s="4">
        <v>42979</v>
      </c>
      <c r="B95" s="7">
        <f t="shared" si="4"/>
        <v>13492</v>
      </c>
      <c r="C95" s="5">
        <v>3.0001685500000002</v>
      </c>
      <c r="D95" s="5">
        <v>1.5953900000000001</v>
      </c>
      <c r="E95" s="8">
        <f t="shared" si="5"/>
        <v>1.4047785500000001</v>
      </c>
      <c r="F95" s="5">
        <f>Sheet3!D111/Sheet3!C111</f>
        <v>0.30193376994960019</v>
      </c>
      <c r="G95" s="5">
        <f>Sheet3!E111/Sheet3!F111</f>
        <v>1.0179049227635049</v>
      </c>
      <c r="H95" s="6">
        <f t="shared" si="6"/>
        <v>0.29662276230070855</v>
      </c>
      <c r="I95" s="6">
        <f>LN(Sheet3!B111)</f>
        <v>14.240843402360094</v>
      </c>
      <c r="J95" s="5">
        <v>4.25</v>
      </c>
      <c r="K95" s="5">
        <v>1.1499999999999999</v>
      </c>
      <c r="L95" s="8">
        <f t="shared" si="7"/>
        <v>3.1</v>
      </c>
      <c r="M95" s="6">
        <v>99.948761904761909</v>
      </c>
      <c r="O95" s="21">
        <v>13492</v>
      </c>
      <c r="P95" s="21">
        <v>13307.571428571429</v>
      </c>
    </row>
    <row r="96" spans="1:16" x14ac:dyDescent="0.75">
      <c r="A96" s="4">
        <v>43009</v>
      </c>
      <c r="B96" s="7">
        <f t="shared" si="4"/>
        <v>13572</v>
      </c>
      <c r="C96" s="5">
        <v>3.0729079000000001</v>
      </c>
      <c r="D96" s="5">
        <v>1.7596400000000001</v>
      </c>
      <c r="E96" s="8">
        <f t="shared" si="5"/>
        <v>1.3132679</v>
      </c>
      <c r="F96" s="5">
        <f>Sheet3!D112/Sheet3!C112</f>
        <v>0.30012426151294486</v>
      </c>
      <c r="G96" s="5">
        <f>Sheet3!E112/Sheet3!F112</f>
        <v>1.0319169818746432</v>
      </c>
      <c r="H96" s="6">
        <f t="shared" si="6"/>
        <v>0.29084147929004994</v>
      </c>
      <c r="I96" s="6">
        <f>LN(Sheet3!B112)</f>
        <v>14.22442363498986</v>
      </c>
      <c r="J96" s="5">
        <v>4.25</v>
      </c>
      <c r="K96" s="5">
        <v>1.1499999999999999</v>
      </c>
      <c r="L96" s="8">
        <f t="shared" si="7"/>
        <v>3.1</v>
      </c>
      <c r="M96" s="6">
        <v>97.784772727272724</v>
      </c>
      <c r="O96" s="21">
        <v>13572</v>
      </c>
      <c r="P96" s="21">
        <v>13528.318181818182</v>
      </c>
    </row>
    <row r="97" spans="1:16" x14ac:dyDescent="0.75">
      <c r="A97" s="4">
        <v>43040</v>
      </c>
      <c r="B97" s="7">
        <f t="shared" si="4"/>
        <v>13514</v>
      </c>
      <c r="C97" s="5">
        <v>3.0514458599999998</v>
      </c>
      <c r="D97" s="5">
        <v>1.7376100000000001</v>
      </c>
      <c r="E97" s="8">
        <f t="shared" si="5"/>
        <v>1.3138358599999997</v>
      </c>
      <c r="F97" s="5">
        <f>Sheet3!D113/Sheet3!C113</f>
        <v>0.32010082033364601</v>
      </c>
      <c r="G97" s="5">
        <f>Sheet3!E113/Sheet3!F113</f>
        <v>0.96322974484120083</v>
      </c>
      <c r="H97" s="6">
        <f t="shared" si="6"/>
        <v>0.3323203234202638</v>
      </c>
      <c r="I97" s="6">
        <f>LN(Sheet3!B113)</f>
        <v>14.207736250505533</v>
      </c>
      <c r="J97" s="5">
        <v>4.25</v>
      </c>
      <c r="K97" s="5">
        <v>1.1599999999999999</v>
      </c>
      <c r="L97" s="8">
        <f t="shared" si="7"/>
        <v>3.09</v>
      </c>
      <c r="M97" s="6">
        <v>97.763454545454536</v>
      </c>
      <c r="O97" s="21">
        <v>13514</v>
      </c>
      <c r="P97" s="21">
        <v>13527.272727272728</v>
      </c>
    </row>
    <row r="98" spans="1:16" x14ac:dyDescent="0.75">
      <c r="A98" s="4">
        <v>43070</v>
      </c>
      <c r="B98" s="7">
        <f t="shared" si="4"/>
        <v>13548</v>
      </c>
      <c r="C98" s="5">
        <v>2.9522771099999998</v>
      </c>
      <c r="D98" s="5">
        <v>1.77017</v>
      </c>
      <c r="E98" s="8">
        <f t="shared" si="5"/>
        <v>1.1821071099999998</v>
      </c>
      <c r="F98" s="5">
        <f>Sheet3!D114/Sheet3!C114</f>
        <v>0.30265183271949553</v>
      </c>
      <c r="G98" s="5">
        <f>Sheet3!E114/Sheet3!F114</f>
        <v>0.95453416462792307</v>
      </c>
      <c r="H98" s="6">
        <f t="shared" si="6"/>
        <v>0.31706757488085202</v>
      </c>
      <c r="I98" s="6">
        <f>LN(Sheet3!B114)</f>
        <v>14.24848574976334</v>
      </c>
      <c r="J98" s="5">
        <v>4.25</v>
      </c>
      <c r="K98" s="5">
        <v>1.3</v>
      </c>
      <c r="L98" s="8">
        <f t="shared" si="7"/>
        <v>2.95</v>
      </c>
      <c r="M98" s="6">
        <v>90.532095238095252</v>
      </c>
      <c r="O98" s="21">
        <v>13548</v>
      </c>
      <c r="P98" s="21">
        <v>13559.333333333334</v>
      </c>
    </row>
    <row r="99" spans="1:16" x14ac:dyDescent="0.75">
      <c r="A99" s="4">
        <v>43101</v>
      </c>
      <c r="B99" s="7">
        <f t="shared" si="4"/>
        <v>13413</v>
      </c>
      <c r="C99" s="5">
        <v>2.6939115899999999</v>
      </c>
      <c r="D99" s="5">
        <v>1.89127</v>
      </c>
      <c r="E99" s="8">
        <f t="shared" si="5"/>
        <v>0.8026415899999999</v>
      </c>
      <c r="F99" s="5">
        <f>Sheet3!D115/Sheet3!C115</f>
        <v>0.30236729823177083</v>
      </c>
      <c r="G99" s="5">
        <f>Sheet3!E115/Sheet3!F115</f>
        <v>0.86398336707164736</v>
      </c>
      <c r="H99" s="6">
        <f t="shared" si="6"/>
        <v>0.34996888800834575</v>
      </c>
      <c r="I99" s="6">
        <f>LN(Sheet3!B115)</f>
        <v>14.242920056978159</v>
      </c>
      <c r="J99" s="5">
        <v>4.25</v>
      </c>
      <c r="K99" s="5">
        <v>1.41</v>
      </c>
      <c r="L99" s="8">
        <f t="shared" si="7"/>
        <v>2.84</v>
      </c>
      <c r="M99" s="6">
        <v>80.348043478260848</v>
      </c>
      <c r="O99" s="21">
        <v>13413</v>
      </c>
      <c r="P99" s="21">
        <v>13388.08695652174</v>
      </c>
    </row>
    <row r="100" spans="1:16" x14ac:dyDescent="0.75">
      <c r="A100" s="4">
        <v>43132</v>
      </c>
      <c r="B100" s="7">
        <f t="shared" si="4"/>
        <v>13707</v>
      </c>
      <c r="C100" s="5">
        <v>2.5843443599999998</v>
      </c>
      <c r="D100" s="5">
        <v>1.8776999999999999</v>
      </c>
      <c r="E100" s="8">
        <f t="shared" si="5"/>
        <v>0.70664435999999986</v>
      </c>
      <c r="F100" s="5">
        <f>Sheet3!D116/Sheet3!C116</f>
        <v>0.30699023391215996</v>
      </c>
      <c r="G100" s="5">
        <f>Sheet3!E116/Sheet3!F116</f>
        <v>0.97137013511232895</v>
      </c>
      <c r="H100" s="6">
        <f t="shared" si="6"/>
        <v>0.31603836973705157</v>
      </c>
      <c r="I100" s="6">
        <f>LN(Sheet3!B116)</f>
        <v>14.240002639685885</v>
      </c>
      <c r="J100" s="5">
        <v>4.25</v>
      </c>
      <c r="K100" s="5">
        <v>1.42</v>
      </c>
      <c r="L100" s="8">
        <f t="shared" si="7"/>
        <v>2.83</v>
      </c>
      <c r="M100" s="6">
        <v>87.574499999999986</v>
      </c>
      <c r="O100" s="21">
        <v>13707</v>
      </c>
      <c r="P100" s="21">
        <v>13601.7</v>
      </c>
    </row>
    <row r="101" spans="1:16" x14ac:dyDescent="0.75">
      <c r="A101" s="4">
        <v>43160</v>
      </c>
      <c r="B101" s="7">
        <f t="shared" si="4"/>
        <v>13756</v>
      </c>
      <c r="C101" s="5">
        <v>2.6730865000000001</v>
      </c>
      <c r="D101" s="5">
        <v>2.1227800000000001</v>
      </c>
      <c r="E101" s="8">
        <f t="shared" si="5"/>
        <v>0.55030650000000003</v>
      </c>
      <c r="F101" s="5">
        <f>Sheet3!D117/Sheet3!C117</f>
        <v>0.29783285440158958</v>
      </c>
      <c r="G101" s="5">
        <f>Sheet3!E117/Sheet3!F117</f>
        <v>0.89739229775008211</v>
      </c>
      <c r="H101" s="6">
        <f t="shared" si="6"/>
        <v>0.33188701880805987</v>
      </c>
      <c r="I101" s="6">
        <f>LN(Sheet3!B117)</f>
        <v>14.237238138985324</v>
      </c>
      <c r="J101" s="5">
        <v>4.25</v>
      </c>
      <c r="K101" s="5">
        <v>1.51</v>
      </c>
      <c r="L101" s="8">
        <f t="shared" si="7"/>
        <v>2.74</v>
      </c>
      <c r="M101" s="6">
        <v>94.428045454545469</v>
      </c>
      <c r="O101" s="21">
        <v>13756</v>
      </c>
      <c r="P101" s="21">
        <v>13760.727272727272</v>
      </c>
    </row>
    <row r="102" spans="1:16" x14ac:dyDescent="0.75">
      <c r="A102" s="4">
        <v>43191</v>
      </c>
      <c r="B102" s="7">
        <f t="shared" si="4"/>
        <v>13877</v>
      </c>
      <c r="C102" s="5">
        <v>2.6944121999999999</v>
      </c>
      <c r="D102" s="5">
        <v>2.1506400000000001</v>
      </c>
      <c r="E102" s="8">
        <f t="shared" si="5"/>
        <v>0.54377219999999982</v>
      </c>
      <c r="F102" s="5">
        <f>Sheet3!D118/Sheet3!C118</f>
        <v>0.30591320917012349</v>
      </c>
      <c r="G102" s="5">
        <f>Sheet3!E118/Sheet3!F118</f>
        <v>0.91597241147277664</v>
      </c>
      <c r="H102" s="6">
        <f t="shared" si="6"/>
        <v>0.33397644441959862</v>
      </c>
      <c r="I102" s="6">
        <f>LN(Sheet3!B118)</f>
        <v>14.230322157885826</v>
      </c>
      <c r="J102" s="5">
        <v>4.25</v>
      </c>
      <c r="K102" s="5">
        <v>1.69</v>
      </c>
      <c r="L102" s="8">
        <f t="shared" si="7"/>
        <v>2.56</v>
      </c>
      <c r="M102" s="6">
        <v>100.70242857142858</v>
      </c>
      <c r="O102" s="21">
        <v>13877</v>
      </c>
      <c r="P102" s="21">
        <v>13809.095238095239</v>
      </c>
    </row>
    <row r="103" spans="1:16" x14ac:dyDescent="0.75">
      <c r="A103" s="4">
        <v>43221</v>
      </c>
      <c r="B103" s="7">
        <f t="shared" si="4"/>
        <v>13951</v>
      </c>
      <c r="C103" s="5">
        <v>2.74811688</v>
      </c>
      <c r="D103" s="5">
        <v>2.2730000000000001</v>
      </c>
      <c r="E103" s="8">
        <f t="shared" si="5"/>
        <v>0.47511687999999985</v>
      </c>
      <c r="F103" s="5">
        <f>Sheet3!D119/Sheet3!C119</f>
        <v>0.31405788963265718</v>
      </c>
      <c r="G103" s="5">
        <f>Sheet3!E119/Sheet3!F119</f>
        <v>0.93100365562678378</v>
      </c>
      <c r="H103" s="6">
        <f t="shared" si="6"/>
        <v>0.33733260630563539</v>
      </c>
      <c r="I103" s="6">
        <f>LN(Sheet3!B119)</f>
        <v>14.188511535983588</v>
      </c>
      <c r="J103" s="5">
        <v>4.75</v>
      </c>
      <c r="K103" s="5">
        <v>1.7</v>
      </c>
      <c r="L103" s="8">
        <f t="shared" si="7"/>
        <v>3.05</v>
      </c>
      <c r="M103" s="6">
        <v>118.39917391304348</v>
      </c>
      <c r="O103" s="21">
        <v>13951</v>
      </c>
      <c r="P103" s="21">
        <v>14038.347826086956</v>
      </c>
    </row>
    <row r="104" spans="1:16" x14ac:dyDescent="0.75">
      <c r="A104" s="4">
        <v>43252</v>
      </c>
      <c r="B104" s="7">
        <f t="shared" si="4"/>
        <v>14404</v>
      </c>
      <c r="C104" s="5">
        <v>2.72434574</v>
      </c>
      <c r="D104" s="5">
        <v>2.24552</v>
      </c>
      <c r="E104" s="8">
        <f t="shared" si="5"/>
        <v>0.47882574</v>
      </c>
      <c r="F104" s="5">
        <f>Sheet3!D120/Sheet3!C120</f>
        <v>0.26133218232050126</v>
      </c>
      <c r="G104" s="5">
        <f>Sheet3!E120/Sheet3!F120</f>
        <v>0.91212916186924176</v>
      </c>
      <c r="H104" s="6">
        <f t="shared" si="6"/>
        <v>0.28650786889101187</v>
      </c>
      <c r="I104" s="6">
        <f>LN(Sheet3!B120)</f>
        <v>14.209173500364363</v>
      </c>
      <c r="J104" s="5">
        <v>5.25</v>
      </c>
      <c r="K104" s="5">
        <v>1.82</v>
      </c>
      <c r="L104" s="8">
        <f t="shared" si="7"/>
        <v>3.4299999999999997</v>
      </c>
      <c r="M104" s="6">
        <v>130.93471428571428</v>
      </c>
      <c r="O104" s="21">
        <v>14404</v>
      </c>
      <c r="P104" s="21">
        <v>14007.190476190477</v>
      </c>
    </row>
    <row r="105" spans="1:16" x14ac:dyDescent="0.75">
      <c r="A105" s="4">
        <v>43282</v>
      </c>
      <c r="B105" s="7">
        <f t="shared" si="4"/>
        <v>14413</v>
      </c>
      <c r="C105" s="5">
        <v>2.87361054</v>
      </c>
      <c r="D105" s="5">
        <v>2.2675999999999998</v>
      </c>
      <c r="E105" s="8">
        <f t="shared" si="5"/>
        <v>0.60601054000000021</v>
      </c>
      <c r="F105" s="5">
        <f>Sheet3!D121/Sheet3!C121</f>
        <v>0.29912437781610651</v>
      </c>
      <c r="G105" s="5">
        <f>Sheet3!E121/Sheet3!F121</f>
        <v>0.84892296616128338</v>
      </c>
      <c r="H105" s="6">
        <f t="shared" si="6"/>
        <v>0.35235750443730735</v>
      </c>
      <c r="I105" s="6">
        <f>LN(Sheet3!B121)</f>
        <v>14.185218946360319</v>
      </c>
      <c r="J105" s="5">
        <v>5.25</v>
      </c>
      <c r="K105" s="5">
        <v>1.91</v>
      </c>
      <c r="L105" s="8">
        <f t="shared" si="7"/>
        <v>3.34</v>
      </c>
      <c r="M105" s="6">
        <v>121.41877272727274</v>
      </c>
      <c r="O105" s="21">
        <v>14413</v>
      </c>
      <c r="P105" s="21">
        <v>14410</v>
      </c>
    </row>
    <row r="106" spans="1:16" x14ac:dyDescent="0.75">
      <c r="A106" s="4">
        <v>43313</v>
      </c>
      <c r="B106" s="7">
        <f t="shared" si="4"/>
        <v>14711</v>
      </c>
      <c r="C106" s="5">
        <v>2.89843173</v>
      </c>
      <c r="D106" s="5">
        <v>2.1208900000000002</v>
      </c>
      <c r="E106" s="8">
        <f t="shared" si="5"/>
        <v>0.77754172999999982</v>
      </c>
      <c r="F106" s="5">
        <f>Sheet3!D122/Sheet3!C122</f>
        <v>0.32631258031114041</v>
      </c>
      <c r="G106" s="5">
        <f>Sheet3!E122/Sheet3!F122</f>
        <v>0.92488348833281853</v>
      </c>
      <c r="H106" s="6">
        <f t="shared" si="6"/>
        <v>0.35281479713660657</v>
      </c>
      <c r="I106" s="6">
        <f>LN(Sheet3!B122)</f>
        <v>14.209954778577947</v>
      </c>
      <c r="J106" s="5">
        <v>5.5</v>
      </c>
      <c r="K106" s="5">
        <v>1.91</v>
      </c>
      <c r="L106" s="8">
        <f t="shared" si="7"/>
        <v>3.59</v>
      </c>
      <c r="M106" s="6">
        <v>118.65352173913043</v>
      </c>
      <c r="O106" s="21">
        <v>14711</v>
      </c>
      <c r="P106" s="21">
        <v>14564.91304347826</v>
      </c>
    </row>
    <row r="107" spans="1:16" x14ac:dyDescent="0.75">
      <c r="A107" s="4">
        <v>43344</v>
      </c>
      <c r="B107" s="7">
        <f t="shared" si="4"/>
        <v>14929</v>
      </c>
      <c r="C107" s="5">
        <v>2.8227785999999999</v>
      </c>
      <c r="D107" s="5">
        <v>2.1976800000000001</v>
      </c>
      <c r="E107" s="8">
        <f t="shared" si="5"/>
        <v>0.62509859999999984</v>
      </c>
      <c r="F107" s="5">
        <f>Sheet3!D123/Sheet3!C123</f>
        <v>0.29679396889215248</v>
      </c>
      <c r="G107" s="5">
        <f>Sheet3!E123/Sheet3!F123</f>
        <v>0.88026734018660846</v>
      </c>
      <c r="H107" s="6">
        <f t="shared" si="6"/>
        <v>0.33716344494757117</v>
      </c>
      <c r="I107" s="6">
        <f>LN(Sheet3!B123)</f>
        <v>14.20132726768237</v>
      </c>
      <c r="J107" s="5">
        <v>5.75</v>
      </c>
      <c r="K107" s="5">
        <v>1.95</v>
      </c>
      <c r="L107" s="8">
        <f t="shared" si="7"/>
        <v>3.8</v>
      </c>
      <c r="M107" s="6">
        <v>137.0829</v>
      </c>
      <c r="O107" s="21">
        <v>14929</v>
      </c>
      <c r="P107" s="21">
        <v>14869.7</v>
      </c>
    </row>
    <row r="108" spans="1:16" x14ac:dyDescent="0.75">
      <c r="A108" s="4">
        <v>43374</v>
      </c>
      <c r="B108" s="7">
        <f t="shared" si="4"/>
        <v>15227</v>
      </c>
      <c r="C108" s="5">
        <v>2.9404557699999998</v>
      </c>
      <c r="D108" s="5">
        <v>2.1264099999999999</v>
      </c>
      <c r="E108" s="8">
        <f t="shared" si="5"/>
        <v>0.81404576999999989</v>
      </c>
      <c r="F108" s="5">
        <f>Sheet3!D124/Sheet3!C124</f>
        <v>0.28055107815574837</v>
      </c>
      <c r="G108" s="5">
        <f>Sheet3!E124/Sheet3!F124</f>
        <v>0.90126211121748834</v>
      </c>
      <c r="H108" s="6">
        <f t="shared" si="6"/>
        <v>0.31128688831350093</v>
      </c>
      <c r="I108" s="6">
        <f>LN(Sheet3!B124)</f>
        <v>14.217264354333627</v>
      </c>
      <c r="J108" s="5">
        <v>5.75</v>
      </c>
      <c r="K108" s="5">
        <v>2.19</v>
      </c>
      <c r="L108" s="8">
        <f t="shared" si="7"/>
        <v>3.56</v>
      </c>
      <c r="M108" s="6">
        <v>147.58617391304352</v>
      </c>
      <c r="O108" s="21">
        <v>15227</v>
      </c>
      <c r="P108" s="21">
        <v>15177</v>
      </c>
    </row>
    <row r="109" spans="1:16" x14ac:dyDescent="0.75">
      <c r="A109" s="4">
        <v>43405</v>
      </c>
      <c r="B109" s="7">
        <f t="shared" si="4"/>
        <v>14339</v>
      </c>
      <c r="C109" s="5">
        <v>3.03450526</v>
      </c>
      <c r="D109" s="5">
        <v>2.2153800000000001</v>
      </c>
      <c r="E109" s="8">
        <f t="shared" si="5"/>
        <v>0.81912525999999986</v>
      </c>
      <c r="F109" s="5">
        <f>Sheet3!D125/Sheet3!C125</f>
        <v>0.2904054983940505</v>
      </c>
      <c r="G109" s="5">
        <f>Sheet3!E125/Sheet3!F125</f>
        <v>0.9240874641746607</v>
      </c>
      <c r="H109" s="6">
        <f t="shared" si="6"/>
        <v>0.31426191746191817</v>
      </c>
      <c r="I109" s="6">
        <f>LN(Sheet3!B125)</f>
        <v>14.183114423087359</v>
      </c>
      <c r="J109" s="5">
        <v>6</v>
      </c>
      <c r="K109" s="5">
        <v>2.2000000000000002</v>
      </c>
      <c r="L109" s="8">
        <f t="shared" si="7"/>
        <v>3.8</v>
      </c>
      <c r="M109" s="6">
        <v>148.3783181818182</v>
      </c>
      <c r="O109" s="21">
        <v>14339</v>
      </c>
      <c r="P109" s="21">
        <v>14657.40909090909</v>
      </c>
    </row>
    <row r="110" spans="1:16" x14ac:dyDescent="0.75">
      <c r="A110" s="4">
        <v>43435</v>
      </c>
      <c r="B110" s="7">
        <f t="shared" si="4"/>
        <v>14481</v>
      </c>
      <c r="C110" s="5">
        <v>3.0712831</v>
      </c>
      <c r="D110" s="5">
        <v>2.2485300000000001</v>
      </c>
      <c r="E110" s="8">
        <f t="shared" si="5"/>
        <v>0.8227530999999999</v>
      </c>
      <c r="F110" s="5">
        <f>Sheet3!D126/Sheet3!C126</f>
        <v>0.27065218393284035</v>
      </c>
      <c r="G110" s="5">
        <f>Sheet3!E126/Sheet3!F126</f>
        <v>0.95782045904865509</v>
      </c>
      <c r="H110" s="6">
        <f t="shared" si="6"/>
        <v>0.28257089455122175</v>
      </c>
      <c r="I110" s="6">
        <f>LN(Sheet3!B126)</f>
        <v>14.181958832934214</v>
      </c>
      <c r="J110" s="5">
        <v>6</v>
      </c>
      <c r="K110" s="5">
        <v>2.27</v>
      </c>
      <c r="L110" s="8">
        <f t="shared" si="7"/>
        <v>3.73</v>
      </c>
      <c r="M110" s="6">
        <v>138.63090476190479</v>
      </c>
      <c r="O110" s="21">
        <v>14481</v>
      </c>
      <c r="P110" s="21">
        <v>14501.666666666666</v>
      </c>
    </row>
    <row r="111" spans="1:16" x14ac:dyDescent="0.75">
      <c r="A111" s="4">
        <v>43466</v>
      </c>
      <c r="B111" s="7">
        <f t="shared" si="4"/>
        <v>14072</v>
      </c>
      <c r="C111" s="5">
        <v>3.0618045999999999</v>
      </c>
      <c r="D111" s="5">
        <v>2.17943</v>
      </c>
      <c r="E111" s="8">
        <f t="shared" si="5"/>
        <v>0.8823745999999999</v>
      </c>
      <c r="F111" s="5">
        <f>Sheet3!D127/Sheet3!C127</f>
        <v>0.25391652308055984</v>
      </c>
      <c r="G111" s="5">
        <f>Sheet3!E127/Sheet3!F127</f>
        <v>0.9257282518216241</v>
      </c>
      <c r="H111" s="6">
        <f t="shared" si="6"/>
        <v>0.27428840221837181</v>
      </c>
      <c r="I111" s="6">
        <f>LN(Sheet3!B127)</f>
        <v>14.143073358884378</v>
      </c>
      <c r="J111" s="5">
        <v>6</v>
      </c>
      <c r="K111" s="5">
        <v>2.4</v>
      </c>
      <c r="L111" s="8">
        <f t="shared" si="7"/>
        <v>3.6</v>
      </c>
      <c r="M111" s="6">
        <v>127.13008695652169</v>
      </c>
      <c r="O111" s="21">
        <v>14072</v>
      </c>
      <c r="P111" s="21">
        <v>14168.08695652174</v>
      </c>
    </row>
    <row r="112" spans="1:16" x14ac:dyDescent="0.75">
      <c r="A112" s="4">
        <v>43497</v>
      </c>
      <c r="B112" s="7">
        <f t="shared" si="4"/>
        <v>14062</v>
      </c>
      <c r="C112" s="5">
        <v>3.06196841</v>
      </c>
      <c r="D112" s="5">
        <v>2.1410900000000002</v>
      </c>
      <c r="E112" s="8">
        <f t="shared" si="5"/>
        <v>0.92087840999999981</v>
      </c>
      <c r="F112" s="5">
        <f>Sheet3!D128/Sheet3!C128</f>
        <v>0.26201444785978117</v>
      </c>
      <c r="G112" s="5">
        <f>Sheet3!E128/Sheet3!F128</f>
        <v>1.0031924086605137</v>
      </c>
      <c r="H112" s="6">
        <f t="shared" si="6"/>
        <v>0.26118065248283634</v>
      </c>
      <c r="I112" s="6">
        <f>LN(Sheet3!B128)</f>
        <v>14.187858158677834</v>
      </c>
      <c r="J112" s="5">
        <v>6</v>
      </c>
      <c r="K112" s="5">
        <v>2.4</v>
      </c>
      <c r="L112" s="8">
        <f t="shared" si="7"/>
        <v>3.6</v>
      </c>
      <c r="M112" s="6">
        <v>110.50135</v>
      </c>
      <c r="O112" s="21">
        <v>14062</v>
      </c>
      <c r="P112" s="21">
        <v>14030.85</v>
      </c>
    </row>
    <row r="113" spans="1:16" x14ac:dyDescent="0.75">
      <c r="A113" s="4">
        <v>43525</v>
      </c>
      <c r="B113" s="7">
        <f t="shared" si="4"/>
        <v>14244</v>
      </c>
      <c r="C113" s="5">
        <v>3.0320181100000001</v>
      </c>
      <c r="D113" s="5">
        <v>2.06656</v>
      </c>
      <c r="E113" s="8">
        <f t="shared" si="5"/>
        <v>0.96545811000000015</v>
      </c>
      <c r="F113" s="5">
        <f>Sheet3!D129/Sheet3!C129</f>
        <v>0.2510287871309172</v>
      </c>
      <c r="G113" s="5">
        <f>Sheet3!E129/Sheet3!F129</f>
        <v>0.95452413644845835</v>
      </c>
      <c r="H113" s="6">
        <f t="shared" si="6"/>
        <v>0.26298841228356101</v>
      </c>
      <c r="I113" s="6">
        <f>LN(Sheet3!B129)</f>
        <v>14.199060329777465</v>
      </c>
      <c r="J113" s="5">
        <v>6</v>
      </c>
      <c r="K113" s="5">
        <v>2.41</v>
      </c>
      <c r="L113" s="8">
        <f t="shared" si="7"/>
        <v>3.59</v>
      </c>
      <c r="M113" s="6">
        <v>91.132571428571424</v>
      </c>
      <c r="O113" s="21">
        <v>14244</v>
      </c>
      <c r="P113" s="21">
        <v>14206.761904761905</v>
      </c>
    </row>
    <row r="114" spans="1:16" x14ac:dyDescent="0.75">
      <c r="A114" s="4">
        <v>43556</v>
      </c>
      <c r="B114" s="7">
        <f t="shared" si="4"/>
        <v>14215</v>
      </c>
      <c r="C114" s="5">
        <v>3.0515863400000001</v>
      </c>
      <c r="D114" s="5">
        <v>2.0913400000000002</v>
      </c>
      <c r="E114" s="8">
        <f t="shared" si="5"/>
        <v>0.96024633999999987</v>
      </c>
      <c r="F114" s="5">
        <f>Sheet3!D130/Sheet3!C130</f>
        <v>0.24911522661483726</v>
      </c>
      <c r="G114" s="5">
        <f>Sheet3!E130/Sheet3!F130</f>
        <v>0.91848768008218995</v>
      </c>
      <c r="H114" s="6">
        <f t="shared" si="6"/>
        <v>0.27122326408618286</v>
      </c>
      <c r="I114" s="6">
        <f>LN(Sheet3!B130)</f>
        <v>14.167390048071947</v>
      </c>
      <c r="J114" s="5">
        <v>6</v>
      </c>
      <c r="K114" s="5">
        <v>2.42</v>
      </c>
      <c r="L114" s="8">
        <f t="shared" si="7"/>
        <v>3.58</v>
      </c>
      <c r="M114" s="6">
        <v>95.089272727272743</v>
      </c>
      <c r="O114" s="21">
        <v>14215</v>
      </c>
      <c r="P114" s="21">
        <v>14140.681818181818</v>
      </c>
    </row>
    <row r="115" spans="1:16" x14ac:dyDescent="0.75">
      <c r="A115" s="4">
        <v>43586</v>
      </c>
      <c r="B115" s="7">
        <f t="shared" si="4"/>
        <v>14385</v>
      </c>
      <c r="C115" s="5">
        <v>3.1176991900000002</v>
      </c>
      <c r="D115" s="5">
        <v>1.9724299999999999</v>
      </c>
      <c r="E115" s="8">
        <f t="shared" si="5"/>
        <v>1.1452691900000003</v>
      </c>
      <c r="F115" s="5">
        <f>Sheet3!D131/Sheet3!C131</f>
        <v>0.25516895368390341</v>
      </c>
      <c r="G115" s="5">
        <f>Sheet3!E131/Sheet3!F131</f>
        <v>1.0109135392935653</v>
      </c>
      <c r="H115" s="6">
        <f t="shared" si="6"/>
        <v>0.25241422116298645</v>
      </c>
      <c r="I115" s="6">
        <f>LN(Sheet3!B131)</f>
        <v>14.15436219727467</v>
      </c>
      <c r="J115" s="5">
        <v>6</v>
      </c>
      <c r="K115" s="5">
        <v>2.39</v>
      </c>
      <c r="L115" s="8">
        <f t="shared" si="7"/>
        <v>3.61</v>
      </c>
      <c r="M115" s="6">
        <v>104.81430434782605</v>
      </c>
      <c r="O115" s="21">
        <v>14385</v>
      </c>
      <c r="P115" s="21">
        <v>14380.304347826086</v>
      </c>
    </row>
    <row r="116" spans="1:16" x14ac:dyDescent="0.75">
      <c r="A116" s="4">
        <v>43617</v>
      </c>
      <c r="B116" s="7">
        <f t="shared" si="4"/>
        <v>14141</v>
      </c>
      <c r="C116" s="5">
        <v>3.25484208</v>
      </c>
      <c r="D116" s="5">
        <v>2.0746000000000002</v>
      </c>
      <c r="E116" s="8">
        <f t="shared" si="5"/>
        <v>1.1802420799999997</v>
      </c>
      <c r="F116" s="5">
        <f>Sheet3!D132/Sheet3!C132</f>
        <v>0.25298837063137752</v>
      </c>
      <c r="G116" s="5">
        <f>Sheet3!E132/Sheet3!F132</f>
        <v>0.89209067988610391</v>
      </c>
      <c r="H116" s="6">
        <f t="shared" si="6"/>
        <v>0.28359042004976148</v>
      </c>
      <c r="I116" s="6">
        <f>LN(Sheet3!B132)</f>
        <v>14.185293419555512</v>
      </c>
      <c r="J116" s="5">
        <v>6</v>
      </c>
      <c r="K116" s="5">
        <v>2.38</v>
      </c>
      <c r="L116" s="8">
        <f t="shared" si="7"/>
        <v>3.62</v>
      </c>
      <c r="M116" s="6">
        <v>104.2079</v>
      </c>
      <c r="O116" s="21">
        <v>14141</v>
      </c>
      <c r="P116" s="21">
        <v>14234.35</v>
      </c>
    </row>
    <row r="117" spans="1:16" x14ac:dyDescent="0.75">
      <c r="A117" s="4">
        <v>43647</v>
      </c>
      <c r="B117" s="7">
        <f t="shared" si="4"/>
        <v>14026</v>
      </c>
      <c r="C117" s="5">
        <v>3.1775252100000002</v>
      </c>
      <c r="D117" s="5">
        <v>2.1657000000000002</v>
      </c>
      <c r="E117" s="8">
        <f t="shared" si="5"/>
        <v>1.01182521</v>
      </c>
      <c r="F117" s="5">
        <f>Sheet3!D133/Sheet3!C133</f>
        <v>0.27014601845621883</v>
      </c>
      <c r="G117" s="5">
        <f>Sheet3!E133/Sheet3!F133</f>
        <v>0.87701320369764524</v>
      </c>
      <c r="H117" s="6">
        <f t="shared" si="6"/>
        <v>0.30802959102238675</v>
      </c>
      <c r="I117" s="6">
        <f>LN(Sheet3!B133)</f>
        <v>14.198874859183398</v>
      </c>
      <c r="J117" s="5">
        <v>5.75</v>
      </c>
      <c r="K117" s="5">
        <v>2.4</v>
      </c>
      <c r="L117" s="8">
        <f t="shared" si="7"/>
        <v>3.35</v>
      </c>
      <c r="M117" s="6">
        <v>87.171434782608685</v>
      </c>
      <c r="O117" s="21">
        <v>14026</v>
      </c>
      <c r="P117" s="21">
        <v>14032.695652173914</v>
      </c>
    </row>
    <row r="118" spans="1:16" x14ac:dyDescent="0.75">
      <c r="A118" s="4">
        <v>43678</v>
      </c>
      <c r="B118" s="7">
        <f t="shared" si="4"/>
        <v>14237</v>
      </c>
      <c r="C118" s="5">
        <v>3.3035429299999999</v>
      </c>
      <c r="D118" s="5">
        <v>2.3211400000000002</v>
      </c>
      <c r="E118" s="8">
        <f t="shared" si="5"/>
        <v>0.98240292999999967</v>
      </c>
      <c r="F118" s="5">
        <f>Sheet3!D134/Sheet3!C134</f>
        <v>0.27225136410067974</v>
      </c>
      <c r="G118" s="5">
        <f>Sheet3!E134/Sheet3!F134</f>
        <v>0.89486497756796302</v>
      </c>
      <c r="H118" s="6">
        <f t="shared" si="6"/>
        <v>0.30423736644671945</v>
      </c>
      <c r="I118" s="6">
        <f>LN(Sheet3!B134)</f>
        <v>14.238170412140363</v>
      </c>
      <c r="J118" s="5">
        <v>5.5</v>
      </c>
      <c r="K118" s="5">
        <v>2.13</v>
      </c>
      <c r="L118" s="8">
        <f t="shared" si="7"/>
        <v>3.37</v>
      </c>
      <c r="M118" s="6">
        <v>92.780863636363634</v>
      </c>
      <c r="O118" s="21">
        <v>14237</v>
      </c>
      <c r="P118" s="21">
        <v>14235.818181818182</v>
      </c>
    </row>
    <row r="119" spans="1:16" x14ac:dyDescent="0.75">
      <c r="A119" s="4">
        <v>43709</v>
      </c>
      <c r="B119" s="7">
        <f t="shared" si="4"/>
        <v>14174</v>
      </c>
      <c r="C119" s="5">
        <v>3.3182143700000002</v>
      </c>
      <c r="D119" s="5">
        <v>2.3300100000000001</v>
      </c>
      <c r="E119" s="8">
        <f t="shared" si="5"/>
        <v>0.98820437000000005</v>
      </c>
      <c r="F119" s="5">
        <f>Sheet3!D135/Sheet3!C135</f>
        <v>0.2574865991468745</v>
      </c>
      <c r="G119" s="5">
        <f>Sheet3!E135/Sheet3!F135</f>
        <v>0.94692705625625651</v>
      </c>
      <c r="H119" s="6">
        <f t="shared" si="6"/>
        <v>0.27191809278833584</v>
      </c>
      <c r="I119" s="6">
        <f>LN(Sheet3!B135)</f>
        <v>14.227948644916284</v>
      </c>
      <c r="J119" s="5">
        <v>5.25</v>
      </c>
      <c r="K119" s="5">
        <v>2.04</v>
      </c>
      <c r="L119" s="8">
        <f t="shared" si="7"/>
        <v>3.21</v>
      </c>
      <c r="M119" s="6">
        <v>78.588523809523792</v>
      </c>
      <c r="O119" s="21">
        <v>14174</v>
      </c>
      <c r="P119" s="21">
        <v>14102.476190476191</v>
      </c>
    </row>
    <row r="120" spans="1:16" x14ac:dyDescent="0.75">
      <c r="A120" s="4">
        <v>43739</v>
      </c>
      <c r="B120" s="7">
        <f t="shared" si="4"/>
        <v>14008</v>
      </c>
      <c r="C120" s="5">
        <v>3.1976513500000001</v>
      </c>
      <c r="D120" s="5">
        <v>2.3378100000000002</v>
      </c>
      <c r="E120" s="8">
        <f t="shared" si="5"/>
        <v>0.85984134999999995</v>
      </c>
      <c r="F120" s="5">
        <f>Sheet3!D136/Sheet3!C136</f>
        <v>0.24231769902137984</v>
      </c>
      <c r="G120" s="5">
        <f>Sheet3!E136/Sheet3!F136</f>
        <v>0.92182549669691749</v>
      </c>
      <c r="H120" s="6">
        <f t="shared" si="6"/>
        <v>0.26286721281810055</v>
      </c>
      <c r="I120" s="6">
        <f>LN(Sheet3!B136)</f>
        <v>14.236611053847298</v>
      </c>
      <c r="J120" s="5">
        <v>5</v>
      </c>
      <c r="K120" s="5">
        <v>1.83</v>
      </c>
      <c r="L120" s="8">
        <f t="shared" si="7"/>
        <v>3.17</v>
      </c>
      <c r="M120" s="6">
        <v>85.160739130434791</v>
      </c>
      <c r="O120" s="21">
        <v>14008</v>
      </c>
      <c r="P120" s="21">
        <v>14116.260869565218</v>
      </c>
    </row>
    <row r="121" spans="1:16" x14ac:dyDescent="0.75">
      <c r="A121" s="4">
        <v>43770</v>
      </c>
      <c r="B121" s="7">
        <f t="shared" si="4"/>
        <v>14102</v>
      </c>
      <c r="C121" s="5">
        <v>3.0797244899999998</v>
      </c>
      <c r="D121" s="5">
        <v>2.3546999999999998</v>
      </c>
      <c r="E121" s="8">
        <f t="shared" si="5"/>
        <v>0.72502449000000002</v>
      </c>
      <c r="F121" s="5">
        <f>Sheet3!D137/Sheet3!C137</f>
        <v>0.24891002067037712</v>
      </c>
      <c r="G121" s="5">
        <f>Sheet3!E137/Sheet3!F137</f>
        <v>1.0575201702616348</v>
      </c>
      <c r="H121" s="6">
        <f t="shared" si="6"/>
        <v>0.23537141670668632</v>
      </c>
      <c r="I121" s="6">
        <f>LN(Sheet3!B137)</f>
        <v>14.228186028817211</v>
      </c>
      <c r="J121" s="5">
        <v>5</v>
      </c>
      <c r="K121" s="5">
        <v>1.55</v>
      </c>
      <c r="L121" s="8">
        <f t="shared" si="7"/>
        <v>3.45</v>
      </c>
      <c r="M121" s="6">
        <v>73.489999999999981</v>
      </c>
      <c r="O121" s="21">
        <v>14102</v>
      </c>
      <c r="P121" s="21">
        <v>14063.619047619048</v>
      </c>
    </row>
    <row r="122" spans="1:16" x14ac:dyDescent="0.75">
      <c r="A122" s="4">
        <v>43800</v>
      </c>
      <c r="B122" s="7">
        <f t="shared" si="4"/>
        <v>13901.004999999999</v>
      </c>
      <c r="C122" s="5">
        <v>3.0192854900000001</v>
      </c>
      <c r="D122" s="5">
        <v>2.2906</v>
      </c>
      <c r="E122" s="8">
        <f t="shared" si="5"/>
        <v>0.72868549000000016</v>
      </c>
      <c r="F122" s="5">
        <f>Sheet3!D138/Sheet3!C138</f>
        <v>0.2589517662387541</v>
      </c>
      <c r="G122" s="5">
        <f>Sheet3!E138/Sheet3!F138</f>
        <v>0.98461850248810345</v>
      </c>
      <c r="H122" s="6">
        <f t="shared" si="6"/>
        <v>0.26299705478252766</v>
      </c>
      <c r="I122" s="6">
        <f>LN(Sheet3!B138)</f>
        <v>14.225375446162518</v>
      </c>
      <c r="J122" s="5">
        <v>5</v>
      </c>
      <c r="K122" s="5">
        <v>1.55</v>
      </c>
      <c r="L122" s="8">
        <f t="shared" si="7"/>
        <v>3.45</v>
      </c>
      <c r="M122" s="6">
        <v>69.861227272727277</v>
      </c>
      <c r="O122" s="21">
        <v>13901.004999999999</v>
      </c>
      <c r="P122" s="21">
        <v>14007.5</v>
      </c>
    </row>
    <row r="123" spans="1:16" x14ac:dyDescent="0.75">
      <c r="A123" s="4">
        <v>43831</v>
      </c>
      <c r="B123" s="7">
        <f t="shared" si="4"/>
        <v>13662</v>
      </c>
      <c r="C123" s="5">
        <v>2.8754308200000001</v>
      </c>
      <c r="D123" s="5">
        <v>2.2817400000000001</v>
      </c>
      <c r="E123" s="8">
        <f t="shared" si="5"/>
        <v>0.59369081999999995</v>
      </c>
      <c r="F123" s="5">
        <f>Sheet3!D139/Sheet3!C139</f>
        <v>0.26790518320591061</v>
      </c>
      <c r="G123" s="5">
        <f>Sheet3!E139/Sheet3!F139</f>
        <v>0.85106110651150835</v>
      </c>
      <c r="H123" s="6">
        <f t="shared" si="6"/>
        <v>0.31478959754611685</v>
      </c>
      <c r="I123" s="6">
        <f>LN(Sheet3!B139)</f>
        <v>14.237275361338183</v>
      </c>
      <c r="J123" s="5">
        <v>5</v>
      </c>
      <c r="K123" s="5">
        <v>1.55</v>
      </c>
      <c r="L123" s="8">
        <f t="shared" si="7"/>
        <v>3.45</v>
      </c>
      <c r="M123" s="6">
        <v>63.303434782608704</v>
      </c>
      <c r="O123" s="21">
        <v>13662</v>
      </c>
      <c r="P123" s="21">
        <v>13728.434782608696</v>
      </c>
    </row>
    <row r="124" spans="1:16" x14ac:dyDescent="0.75">
      <c r="A124" s="4">
        <v>43862</v>
      </c>
      <c r="B124" s="7">
        <f t="shared" si="4"/>
        <v>14234</v>
      </c>
      <c r="C124" s="5">
        <v>2.76004322</v>
      </c>
      <c r="D124" s="5">
        <v>2.3676599999999999</v>
      </c>
      <c r="E124" s="8">
        <f t="shared" si="5"/>
        <v>0.39238322000000014</v>
      </c>
      <c r="F124" s="5">
        <f>Sheet3!D140/Sheet3!C140</f>
        <v>0.28270077158696993</v>
      </c>
      <c r="G124" s="5">
        <f>Sheet3!E140/Sheet3!F140</f>
        <v>1.1308859364730846</v>
      </c>
      <c r="H124" s="6">
        <f t="shared" si="6"/>
        <v>0.24998168468575549</v>
      </c>
      <c r="I124" s="6">
        <f>LN(Sheet3!B140)</f>
        <v>14.281374028568674</v>
      </c>
      <c r="J124" s="5">
        <v>4.75</v>
      </c>
      <c r="K124" s="5">
        <v>1.58</v>
      </c>
      <c r="L124" s="8">
        <f t="shared" si="7"/>
        <v>3.17</v>
      </c>
      <c r="M124" s="6">
        <v>64.349299999999999</v>
      </c>
      <c r="O124" s="21">
        <v>14234</v>
      </c>
      <c r="P124" s="21">
        <v>13775.3</v>
      </c>
    </row>
    <row r="125" spans="1:16" x14ac:dyDescent="0.75">
      <c r="A125" s="4">
        <v>43891</v>
      </c>
      <c r="B125" s="7">
        <f t="shared" si="4"/>
        <v>16367.004999999999</v>
      </c>
      <c r="C125" s="5">
        <v>2.8728306699999999</v>
      </c>
      <c r="D125" s="5">
        <v>2.0977399999999999</v>
      </c>
      <c r="E125" s="8">
        <f t="shared" si="5"/>
        <v>0.77509066999999998</v>
      </c>
      <c r="F125" s="5">
        <f>Sheet3!D141/Sheet3!C141</f>
        <v>0.25950822471392271</v>
      </c>
      <c r="G125" s="5">
        <f>Sheet3!E141/Sheet3!F141</f>
        <v>1.0808862061189206</v>
      </c>
      <c r="H125" s="6">
        <f t="shared" si="6"/>
        <v>0.24008838603438634</v>
      </c>
      <c r="I125" s="6">
        <f>LN(Sheet3!B141)</f>
        <v>14.328918618368546</v>
      </c>
      <c r="J125" s="5">
        <v>4.5</v>
      </c>
      <c r="K125" s="5">
        <v>0.65</v>
      </c>
      <c r="L125" s="8">
        <f t="shared" si="7"/>
        <v>3.85</v>
      </c>
      <c r="M125" s="6">
        <v>180.10131818181819</v>
      </c>
      <c r="O125" s="21">
        <v>16367.004999999999</v>
      </c>
      <c r="P125" s="21">
        <v>15245.363636363636</v>
      </c>
    </row>
    <row r="126" spans="1:16" x14ac:dyDescent="0.75">
      <c r="A126" s="4">
        <v>43922</v>
      </c>
      <c r="B126" s="7">
        <f t="shared" si="4"/>
        <v>15157.004999999999</v>
      </c>
      <c r="C126" s="5">
        <v>2.8476367599999999</v>
      </c>
      <c r="D126" s="5">
        <v>1.43093</v>
      </c>
      <c r="E126" s="8">
        <f t="shared" si="5"/>
        <v>1.4167067599999998</v>
      </c>
      <c r="F126" s="5">
        <f>Sheet3!D142/Sheet3!C142</f>
        <v>0.26918541320117917</v>
      </c>
      <c r="G126" s="5">
        <f>Sheet3!E142/Sheet3!F142</f>
        <v>1.2006993859504753</v>
      </c>
      <c r="H126" s="6">
        <f t="shared" si="6"/>
        <v>0.224190514587539</v>
      </c>
      <c r="I126" s="6">
        <f>LN(Sheet3!B142)</f>
        <v>14.313978258170312</v>
      </c>
      <c r="J126" s="5">
        <v>4.5</v>
      </c>
      <c r="K126" s="5">
        <v>0.05</v>
      </c>
      <c r="L126" s="8">
        <f t="shared" si="7"/>
        <v>4.45</v>
      </c>
      <c r="M126" s="6">
        <v>223.14500000000001</v>
      </c>
      <c r="O126" s="21">
        <v>15157.004999999999</v>
      </c>
      <c r="P126" s="21">
        <v>15732.09090909091</v>
      </c>
    </row>
    <row r="127" spans="1:16" x14ac:dyDescent="0.75">
      <c r="A127" s="4">
        <v>43952</v>
      </c>
      <c r="B127" s="7">
        <f t="shared" si="4"/>
        <v>14733.004999999999</v>
      </c>
      <c r="C127" s="5">
        <v>2.6451927799999999</v>
      </c>
      <c r="D127" s="5">
        <v>1.2184600000000001</v>
      </c>
      <c r="E127" s="8">
        <f t="shared" si="5"/>
        <v>1.4267327799999998</v>
      </c>
      <c r="F127" s="5">
        <f>Sheet3!D143/Sheet3!C143</f>
        <v>0.24748014888530168</v>
      </c>
      <c r="G127" s="5">
        <f>Sheet3!E143/Sheet3!F143</f>
        <v>1.1950315628718879</v>
      </c>
      <c r="H127" s="6">
        <f t="shared" si="6"/>
        <v>0.20709088912309551</v>
      </c>
      <c r="I127" s="6">
        <f>LN(Sheet3!B143)</f>
        <v>14.321961249655741</v>
      </c>
      <c r="J127" s="5">
        <v>4.5</v>
      </c>
      <c r="K127" s="5">
        <v>0.05</v>
      </c>
      <c r="L127" s="8">
        <f t="shared" si="7"/>
        <v>4.45</v>
      </c>
      <c r="M127" s="6">
        <v>194.46928571428575</v>
      </c>
      <c r="O127" s="21">
        <v>14733.004999999999</v>
      </c>
      <c r="P127" s="21">
        <v>14839.619047619048</v>
      </c>
    </row>
    <row r="128" spans="1:16" x14ac:dyDescent="0.75">
      <c r="A128" s="4">
        <v>43983</v>
      </c>
      <c r="B128" s="7">
        <f t="shared" si="4"/>
        <v>14302</v>
      </c>
      <c r="C128" s="5">
        <v>2.2554929000000001</v>
      </c>
      <c r="D128" s="5">
        <v>1.1836800000000001</v>
      </c>
      <c r="E128" s="8">
        <f t="shared" si="5"/>
        <v>1.0718129000000001</v>
      </c>
      <c r="F128" s="5">
        <f>Sheet3!D144/Sheet3!C144</f>
        <v>0.25883567597915491</v>
      </c>
      <c r="G128" s="5">
        <f>Sheet3!E144/Sheet3!F144</f>
        <v>1.0692363963021099</v>
      </c>
      <c r="H128" s="6">
        <f t="shared" si="6"/>
        <v>0.24207525751491682</v>
      </c>
      <c r="I128" s="6">
        <f>LN(Sheet3!B144)</f>
        <v>14.299319183246809</v>
      </c>
      <c r="J128" s="5">
        <v>4.25</v>
      </c>
      <c r="K128" s="5">
        <v>0.08</v>
      </c>
      <c r="L128" s="8">
        <f t="shared" si="7"/>
        <v>4.17</v>
      </c>
      <c r="M128" s="6">
        <v>131.59750000000003</v>
      </c>
      <c r="O128" s="21">
        <v>14302</v>
      </c>
      <c r="P128" s="21">
        <v>14127.90909090909</v>
      </c>
    </row>
    <row r="129" spans="1:16" x14ac:dyDescent="0.75">
      <c r="A129" s="4">
        <v>44013</v>
      </c>
      <c r="B129" s="7">
        <f t="shared" si="4"/>
        <v>14653.004999999999</v>
      </c>
      <c r="C129" s="5">
        <v>2.0734425000000001</v>
      </c>
      <c r="D129" s="5">
        <v>1.5607</v>
      </c>
      <c r="E129" s="8">
        <f t="shared" si="5"/>
        <v>0.5127425000000001</v>
      </c>
      <c r="F129" s="5">
        <f>Sheet3!D145/Sheet3!C145</f>
        <v>0.29715487923605743</v>
      </c>
      <c r="G129" s="5">
        <f>Sheet3!E145/Sheet3!F145</f>
        <v>1.0821043334263529</v>
      </c>
      <c r="H129" s="6">
        <f t="shared" si="6"/>
        <v>0.27460834418355234</v>
      </c>
      <c r="I129" s="6">
        <f>LN(Sheet3!B145)</f>
        <v>14.360586408611681</v>
      </c>
      <c r="J129" s="5">
        <v>4</v>
      </c>
      <c r="K129" s="5">
        <v>0.09</v>
      </c>
      <c r="L129" s="8">
        <f t="shared" si="7"/>
        <v>3.91</v>
      </c>
      <c r="M129" s="6">
        <v>121.73139130434781</v>
      </c>
      <c r="O129" s="21">
        <v>14653.004999999999</v>
      </c>
      <c r="P129" s="21">
        <v>14535.826086956522</v>
      </c>
    </row>
    <row r="130" spans="1:16" x14ac:dyDescent="0.75">
      <c r="A130" s="4">
        <v>44044</v>
      </c>
      <c r="B130" s="7">
        <f t="shared" si="4"/>
        <v>14554</v>
      </c>
      <c r="C130" s="5">
        <v>2.0278099699999999</v>
      </c>
      <c r="D130" s="5">
        <v>1.7223900000000001</v>
      </c>
      <c r="E130" s="8">
        <f t="shared" si="5"/>
        <v>0.30541996999999976</v>
      </c>
      <c r="F130" s="5">
        <f>Sheet3!D146/Sheet3!C146</f>
        <v>0.29967235622741362</v>
      </c>
      <c r="G130" s="5">
        <f>Sheet3!E146/Sheet3!F146</f>
        <v>1.1021449767428073</v>
      </c>
      <c r="H130" s="6">
        <f t="shared" si="6"/>
        <v>0.27189921702772873</v>
      </c>
      <c r="I130" s="6">
        <f>LN(Sheet3!B146)</f>
        <v>14.367846132194554</v>
      </c>
      <c r="J130" s="5">
        <v>4</v>
      </c>
      <c r="K130" s="5">
        <v>0.1</v>
      </c>
      <c r="L130" s="8">
        <f t="shared" si="7"/>
        <v>3.9</v>
      </c>
      <c r="M130" s="6">
        <v>107.16580952380953</v>
      </c>
      <c r="O130" s="21">
        <v>14554</v>
      </c>
      <c r="P130" s="21">
        <v>14689.761904761905</v>
      </c>
    </row>
    <row r="131" spans="1:16" x14ac:dyDescent="0.75">
      <c r="A131" s="4">
        <v>44075</v>
      </c>
      <c r="B131" s="7">
        <f t="shared" si="4"/>
        <v>14918</v>
      </c>
      <c r="C131" s="5">
        <v>1.8580918500000001</v>
      </c>
      <c r="D131" s="5">
        <v>1.71906</v>
      </c>
      <c r="E131" s="8">
        <f t="shared" si="5"/>
        <v>0.13903185000000007</v>
      </c>
      <c r="F131" s="5">
        <f>Sheet3!D147/Sheet3!C147</f>
        <v>0.31766887879444583</v>
      </c>
      <c r="G131" s="5">
        <f>Sheet3!E147/Sheet3!F147</f>
        <v>1.1134928227620535</v>
      </c>
      <c r="H131" s="6">
        <f t="shared" si="6"/>
        <v>0.28529045926533975</v>
      </c>
      <c r="I131" s="6">
        <f>LN(Sheet3!B147)</f>
        <v>14.382254134182681</v>
      </c>
      <c r="J131" s="5">
        <v>4</v>
      </c>
      <c r="K131" s="5">
        <v>0.09</v>
      </c>
      <c r="L131" s="8">
        <f t="shared" si="7"/>
        <v>3.91</v>
      </c>
      <c r="M131" s="6">
        <v>99.105545454545435</v>
      </c>
      <c r="O131" s="21">
        <v>14918</v>
      </c>
      <c r="P131" s="21">
        <v>14807.681818181818</v>
      </c>
    </row>
    <row r="132" spans="1:16" x14ac:dyDescent="0.75">
      <c r="A132" s="4">
        <v>44105</v>
      </c>
      <c r="B132" s="7">
        <f t="shared" ref="B132:B195" si="8">O132</f>
        <v>14690</v>
      </c>
      <c r="C132" s="5">
        <v>1.7398827299999999</v>
      </c>
      <c r="D132" s="5">
        <v>1.6364099999999999</v>
      </c>
      <c r="E132" s="8">
        <f t="shared" ref="E132:E195" si="9">C132-D132</f>
        <v>0.10347273000000001</v>
      </c>
      <c r="F132" s="5">
        <f>Sheet3!D148/Sheet3!C148</f>
        <v>0.30484084969097858</v>
      </c>
      <c r="G132" s="5">
        <f>Sheet3!E148/Sheet3!F148</f>
        <v>1.1210391072749573</v>
      </c>
      <c r="H132" s="6">
        <f t="shared" ref="H132:H195" si="10">F132/G132</f>
        <v>0.27192704314481175</v>
      </c>
      <c r="I132" s="6">
        <f>LN(Sheet3!B148)</f>
        <v>14.366910741481062</v>
      </c>
      <c r="J132" s="5">
        <v>4</v>
      </c>
      <c r="K132" s="5">
        <v>0.09</v>
      </c>
      <c r="L132" s="8">
        <f t="shared" ref="L132:L195" si="11">J132-K132</f>
        <v>3.91</v>
      </c>
      <c r="M132" s="6">
        <v>98.591772727272712</v>
      </c>
      <c r="O132" s="21">
        <v>14690</v>
      </c>
      <c r="P132" s="21">
        <v>14697.954545454546</v>
      </c>
    </row>
    <row r="133" spans="1:16" x14ac:dyDescent="0.75">
      <c r="A133" s="4">
        <v>44136</v>
      </c>
      <c r="B133" s="7">
        <f t="shared" si="8"/>
        <v>14128</v>
      </c>
      <c r="C133" s="5">
        <v>1.6705069100000001</v>
      </c>
      <c r="D133" s="5">
        <v>1.6693800000000001</v>
      </c>
      <c r="E133" s="8">
        <f t="shared" si="9"/>
        <v>1.126909999999981E-3</v>
      </c>
      <c r="F133" s="5">
        <f>Sheet3!D149/Sheet3!C149</f>
        <v>0.2863676226426034</v>
      </c>
      <c r="G133" s="5">
        <f>Sheet3!E149/Sheet3!F149</f>
        <v>0.95836644063518273</v>
      </c>
      <c r="H133" s="6">
        <f t="shared" si="10"/>
        <v>0.29880806599697468</v>
      </c>
      <c r="I133" s="6">
        <f>LN(Sheet3!B149)</f>
        <v>14.325851644360991</v>
      </c>
      <c r="J133" s="5">
        <v>3.75</v>
      </c>
      <c r="K133" s="5">
        <v>0.09</v>
      </c>
      <c r="L133" s="8">
        <f t="shared" si="11"/>
        <v>3.66</v>
      </c>
      <c r="M133" s="6">
        <v>83.181857142857169</v>
      </c>
      <c r="O133" s="21">
        <v>14128</v>
      </c>
      <c r="P133" s="21">
        <v>14201.952380952382</v>
      </c>
    </row>
    <row r="134" spans="1:16" x14ac:dyDescent="0.75">
      <c r="A134" s="4">
        <v>44166</v>
      </c>
      <c r="B134" s="7">
        <f t="shared" si="8"/>
        <v>14105.004999999999</v>
      </c>
      <c r="C134" s="5">
        <v>1.60145761</v>
      </c>
      <c r="D134" s="5">
        <v>1.6243099999999999</v>
      </c>
      <c r="E134" s="8">
        <f t="shared" si="9"/>
        <v>-2.2852389999999945E-2</v>
      </c>
      <c r="F134" s="5">
        <f>Sheet3!D150/Sheet3!C150</f>
        <v>0.28878582654853735</v>
      </c>
      <c r="G134" s="5">
        <f>Sheet3!E150/Sheet3!F150</f>
        <v>1.0618001148505891</v>
      </c>
      <c r="H134" s="6">
        <f t="shared" si="10"/>
        <v>0.27197758081724616</v>
      </c>
      <c r="I134" s="6">
        <f>LN(Sheet3!B150)</f>
        <v>14.352697927371974</v>
      </c>
      <c r="J134" s="5">
        <v>3.75</v>
      </c>
      <c r="K134" s="5">
        <v>0.09</v>
      </c>
      <c r="L134" s="8">
        <f t="shared" si="11"/>
        <v>3.66</v>
      </c>
      <c r="M134" s="6">
        <v>72.282478260869553</v>
      </c>
      <c r="O134" s="21">
        <v>14105.004999999999</v>
      </c>
      <c r="P134" s="21">
        <v>14125.565217391304</v>
      </c>
    </row>
    <row r="135" spans="1:16" x14ac:dyDescent="0.75">
      <c r="A135" s="4">
        <v>44197</v>
      </c>
      <c r="B135" s="7">
        <f t="shared" si="8"/>
        <v>14084</v>
      </c>
      <c r="C135" s="5">
        <v>1.56025653</v>
      </c>
      <c r="D135" s="5">
        <v>1.3763700000000001</v>
      </c>
      <c r="E135" s="8">
        <f t="shared" si="9"/>
        <v>0.18388652999999988</v>
      </c>
      <c r="F135" s="5">
        <f>Sheet3!D151/Sheet3!C151</f>
        <v>0.2908237736266463</v>
      </c>
      <c r="G135" s="5">
        <f>Sheet3!E151/Sheet3!F151</f>
        <v>0.98112752603169751</v>
      </c>
      <c r="H135" s="6">
        <f t="shared" si="10"/>
        <v>0.29641791297296716</v>
      </c>
      <c r="I135" s="6">
        <f>LN(Sheet3!B151)</f>
        <v>14.375997496052477</v>
      </c>
      <c r="J135" s="5">
        <v>3.75</v>
      </c>
      <c r="K135" s="5">
        <v>0.09</v>
      </c>
      <c r="L135" s="8">
        <f t="shared" si="11"/>
        <v>3.66</v>
      </c>
      <c r="M135" s="6">
        <v>71.920428571428587</v>
      </c>
      <c r="O135" s="21">
        <v>14084</v>
      </c>
      <c r="P135" s="21">
        <v>14025.238095238095</v>
      </c>
    </row>
    <row r="136" spans="1:16" x14ac:dyDescent="0.75">
      <c r="A136" s="4">
        <v>44228</v>
      </c>
      <c r="B136" s="7">
        <f t="shared" si="8"/>
        <v>14229.004999999999</v>
      </c>
      <c r="C136" s="5">
        <v>1.5293442900000001</v>
      </c>
      <c r="D136" s="5">
        <v>1.2802500000000001</v>
      </c>
      <c r="E136" s="8">
        <f t="shared" si="9"/>
        <v>0.24909428999999994</v>
      </c>
      <c r="F136" s="5">
        <f>Sheet3!D152/Sheet3!C152</f>
        <v>0.32025689250840023</v>
      </c>
      <c r="G136" s="5">
        <f>Sheet3!E152/Sheet3!F152</f>
        <v>0.93317648433376599</v>
      </c>
      <c r="H136" s="6">
        <f t="shared" si="10"/>
        <v>0.34319005877762243</v>
      </c>
      <c r="I136" s="6">
        <f>LN(Sheet3!B152)</f>
        <v>14.390057053496177</v>
      </c>
      <c r="J136" s="5">
        <v>3.5</v>
      </c>
      <c r="K136" s="5">
        <v>0.08</v>
      </c>
      <c r="L136" s="8">
        <f t="shared" si="11"/>
        <v>3.42</v>
      </c>
      <c r="M136" s="6">
        <v>73.425099999999972</v>
      </c>
      <c r="O136" s="21">
        <v>14229.004999999999</v>
      </c>
      <c r="P136" s="21">
        <v>14029.45</v>
      </c>
    </row>
    <row r="137" spans="1:16" x14ac:dyDescent="0.75">
      <c r="A137" s="4">
        <v>44256</v>
      </c>
      <c r="B137" s="7">
        <f t="shared" si="8"/>
        <v>14572</v>
      </c>
      <c r="C137" s="5">
        <v>1.2104460500000001</v>
      </c>
      <c r="D137" s="5">
        <v>1.6494800000000001</v>
      </c>
      <c r="E137" s="8">
        <f t="shared" si="9"/>
        <v>-0.43903395000000001</v>
      </c>
      <c r="F137" s="5">
        <f>Sheet3!D153/Sheet3!C153</f>
        <v>0.36306654253979825</v>
      </c>
      <c r="G137" s="5">
        <f>Sheet3!E153/Sheet3!F153</f>
        <v>1.0294129704866699</v>
      </c>
      <c r="H137" s="6">
        <f t="shared" si="10"/>
        <v>0.35269279963332234</v>
      </c>
      <c r="I137" s="6">
        <f>LN(Sheet3!B153)</f>
        <v>14.405201481946984</v>
      </c>
      <c r="J137" s="5">
        <v>3.5</v>
      </c>
      <c r="K137" s="5">
        <v>7.0000000000000007E-2</v>
      </c>
      <c r="L137" s="8">
        <f t="shared" si="11"/>
        <v>3.43</v>
      </c>
      <c r="M137" s="6">
        <v>81.500739130434781</v>
      </c>
      <c r="O137" s="21">
        <v>14572</v>
      </c>
      <c r="P137" s="21">
        <v>14388.217391304348</v>
      </c>
    </row>
    <row r="138" spans="1:16" x14ac:dyDescent="0.75">
      <c r="A138" s="4">
        <v>44287</v>
      </c>
      <c r="B138" s="7">
        <f t="shared" si="8"/>
        <v>14468</v>
      </c>
      <c r="C138" s="5">
        <v>1.1798287300000001</v>
      </c>
      <c r="D138" s="5">
        <v>2.97803</v>
      </c>
      <c r="E138" s="8">
        <f t="shared" si="9"/>
        <v>-1.7982012699999999</v>
      </c>
      <c r="F138" s="5">
        <f>Sheet3!D154/Sheet3!C154</f>
        <v>0.37600235390117648</v>
      </c>
      <c r="G138" s="5">
        <f>Sheet3!E154/Sheet3!F154</f>
        <v>0.94784917468610119</v>
      </c>
      <c r="H138" s="6">
        <f t="shared" si="10"/>
        <v>0.39669006835997617</v>
      </c>
      <c r="I138" s="6">
        <f>LN(Sheet3!B154)</f>
        <v>14.415326145525418</v>
      </c>
      <c r="J138" s="5">
        <v>3.5</v>
      </c>
      <c r="K138" s="5">
        <v>7.0000000000000007E-2</v>
      </c>
      <c r="L138" s="8">
        <f t="shared" si="11"/>
        <v>3.43</v>
      </c>
      <c r="M138" s="6">
        <v>81.62054545454545</v>
      </c>
      <c r="O138" s="21">
        <v>14468</v>
      </c>
      <c r="P138" s="21">
        <v>14528.818181818182</v>
      </c>
    </row>
    <row r="139" spans="1:16" x14ac:dyDescent="0.75">
      <c r="A139" s="4">
        <v>44317</v>
      </c>
      <c r="B139" s="7">
        <f t="shared" si="8"/>
        <v>14310</v>
      </c>
      <c r="C139" s="5">
        <v>1.3693419600000001</v>
      </c>
      <c r="D139" s="5">
        <v>3.7877000000000001</v>
      </c>
      <c r="E139" s="8">
        <f t="shared" si="9"/>
        <v>-2.4183580400000002</v>
      </c>
      <c r="F139" s="5">
        <f>Sheet3!D155/Sheet3!C155</f>
        <v>0.3264493567894749</v>
      </c>
      <c r="G139" s="5">
        <f>Sheet3!E155/Sheet3!F155</f>
        <v>1.0249909417862146</v>
      </c>
      <c r="H139" s="6">
        <f t="shared" si="10"/>
        <v>0.318489991941376</v>
      </c>
      <c r="I139" s="6">
        <f>LN(Sheet3!B155)</f>
        <v>14.38412996737879</v>
      </c>
      <c r="J139" s="5">
        <v>3.5</v>
      </c>
      <c r="K139" s="5">
        <v>0.06</v>
      </c>
      <c r="L139" s="8">
        <f t="shared" si="11"/>
        <v>3.44</v>
      </c>
      <c r="M139" s="6">
        <v>77.338285714285703</v>
      </c>
      <c r="O139" s="21">
        <v>14310</v>
      </c>
      <c r="P139" s="21">
        <v>14302.333333333334</v>
      </c>
    </row>
    <row r="140" spans="1:16" x14ac:dyDescent="0.75">
      <c r="A140" s="4">
        <v>44348</v>
      </c>
      <c r="B140" s="7">
        <f t="shared" si="8"/>
        <v>14496</v>
      </c>
      <c r="C140" s="5">
        <v>1.4926792200000001</v>
      </c>
      <c r="D140" s="5">
        <v>4.4393599999999998</v>
      </c>
      <c r="E140" s="8">
        <f t="shared" si="9"/>
        <v>-2.9466807799999994</v>
      </c>
      <c r="F140" s="5">
        <f>Sheet3!D156/Sheet3!C156</f>
        <v>0.35133276930425422</v>
      </c>
      <c r="G140" s="5">
        <f>Sheet3!E156/Sheet3!F156</f>
        <v>0.91128932996615908</v>
      </c>
      <c r="H140" s="6">
        <f t="shared" si="10"/>
        <v>0.3855337243082842</v>
      </c>
      <c r="I140" s="6">
        <f>LN(Sheet3!B156)</f>
        <v>14.408490225855841</v>
      </c>
      <c r="J140" s="5">
        <v>3.5</v>
      </c>
      <c r="K140" s="5">
        <v>0.08</v>
      </c>
      <c r="L140" s="8">
        <f t="shared" si="11"/>
        <v>3.42</v>
      </c>
      <c r="M140" s="6">
        <v>74.441090909090903</v>
      </c>
      <c r="O140" s="21">
        <v>14496</v>
      </c>
      <c r="P140" s="21">
        <v>14332.045454545454</v>
      </c>
    </row>
    <row r="141" spans="1:16" x14ac:dyDescent="0.75">
      <c r="A141" s="4">
        <v>44378</v>
      </c>
      <c r="B141" s="7">
        <f t="shared" si="8"/>
        <v>14491.004999999999</v>
      </c>
      <c r="C141" s="5">
        <v>1.39534884</v>
      </c>
      <c r="D141" s="5">
        <v>4.2107200000000002</v>
      </c>
      <c r="E141" s="8">
        <f t="shared" si="9"/>
        <v>-2.8153711600000002</v>
      </c>
      <c r="F141" s="5">
        <f>Sheet3!D157/Sheet3!C157</f>
        <v>0.32002968031691204</v>
      </c>
      <c r="G141" s="5">
        <f>Sheet3!E157/Sheet3!F157</f>
        <v>0.90962876721691022</v>
      </c>
      <c r="H141" s="6">
        <f t="shared" si="10"/>
        <v>0.35182449351956097</v>
      </c>
      <c r="I141" s="6">
        <f>LN(Sheet3!B157)</f>
        <v>14.402816025998638</v>
      </c>
      <c r="J141" s="5">
        <v>3.5</v>
      </c>
      <c r="K141" s="5">
        <v>0.1</v>
      </c>
      <c r="L141" s="8">
        <f t="shared" si="11"/>
        <v>3.4</v>
      </c>
      <c r="M141" s="6">
        <v>78.36490909090908</v>
      </c>
      <c r="O141" s="21">
        <v>14491.004999999999</v>
      </c>
      <c r="P141" s="21">
        <v>14495.545454545454</v>
      </c>
    </row>
    <row r="142" spans="1:16" x14ac:dyDescent="0.75">
      <c r="A142" s="4">
        <v>44409</v>
      </c>
      <c r="B142" s="7">
        <f t="shared" si="8"/>
        <v>14374</v>
      </c>
      <c r="C142" s="5">
        <v>1.3060760899999999</v>
      </c>
      <c r="D142" s="5">
        <v>3.9396900000000001</v>
      </c>
      <c r="E142" s="8">
        <f t="shared" si="9"/>
        <v>-2.6336139100000002</v>
      </c>
      <c r="F142" s="5">
        <f>Sheet3!D158/Sheet3!C158</f>
        <v>0.42361269398629892</v>
      </c>
      <c r="G142" s="5">
        <f>Sheet3!E158/Sheet3!F158</f>
        <v>0.84660587466003479</v>
      </c>
      <c r="H142" s="6">
        <f t="shared" si="10"/>
        <v>0.50036588058924814</v>
      </c>
      <c r="I142" s="6">
        <f>LN(Sheet3!B158)</f>
        <v>14.426232980353079</v>
      </c>
      <c r="J142" s="5">
        <v>3.5</v>
      </c>
      <c r="K142" s="5">
        <v>0.09</v>
      </c>
      <c r="L142" s="8">
        <f t="shared" si="11"/>
        <v>3.41</v>
      </c>
      <c r="M142" s="6">
        <v>75.069454545454562</v>
      </c>
      <c r="O142" s="21">
        <v>14374</v>
      </c>
      <c r="P142" s="21">
        <v>14378.5</v>
      </c>
    </row>
    <row r="143" spans="1:16" x14ac:dyDescent="0.75">
      <c r="A143" s="4">
        <v>44440</v>
      </c>
      <c r="B143" s="7">
        <f t="shared" si="8"/>
        <v>14307.004999999999</v>
      </c>
      <c r="C143" s="5">
        <v>1.30434783</v>
      </c>
      <c r="D143" s="5">
        <v>4.0028600000000001</v>
      </c>
      <c r="E143" s="8">
        <f t="shared" si="9"/>
        <v>-2.6985121699999999</v>
      </c>
      <c r="F143" s="5">
        <f>Sheet3!D159/Sheet3!C159</f>
        <v>0.40451477039640843</v>
      </c>
      <c r="G143" s="5">
        <f>Sheet3!E159/Sheet3!F159</f>
        <v>0.88817902953541961</v>
      </c>
      <c r="H143" s="6">
        <f t="shared" si="10"/>
        <v>0.45544282959258592</v>
      </c>
      <c r="I143" s="6">
        <f>LN(Sheet3!B159)</f>
        <v>14.431415659800727</v>
      </c>
      <c r="J143" s="5">
        <v>3.5</v>
      </c>
      <c r="K143" s="5">
        <v>0.08</v>
      </c>
      <c r="L143" s="8">
        <f t="shared" si="11"/>
        <v>3.42</v>
      </c>
      <c r="M143" s="6">
        <v>72.857454545454544</v>
      </c>
      <c r="O143" s="21">
        <v>14307.004999999999</v>
      </c>
      <c r="P143" s="21">
        <v>14251.863636363636</v>
      </c>
    </row>
    <row r="144" spans="1:16" x14ac:dyDescent="0.75">
      <c r="A144" s="4">
        <v>44470</v>
      </c>
      <c r="B144" s="7">
        <f t="shared" si="8"/>
        <v>14199.004999999999</v>
      </c>
      <c r="C144" s="5">
        <v>1.3321995499999999</v>
      </c>
      <c r="D144" s="5">
        <v>4.5903200000000002</v>
      </c>
      <c r="E144" s="8">
        <f t="shared" si="9"/>
        <v>-3.2581204500000003</v>
      </c>
      <c r="F144" s="5">
        <f>Sheet3!D160/Sheet3!C160</f>
        <v>0.38973811657501234</v>
      </c>
      <c r="G144" s="5">
        <f>Sheet3!E160/Sheet3!F160</f>
        <v>0.91503782571324843</v>
      </c>
      <c r="H144" s="6">
        <f t="shared" si="10"/>
        <v>0.42592568921532997</v>
      </c>
      <c r="I144" s="6">
        <f>LN(Sheet3!B160)</f>
        <v>14.422319767109787</v>
      </c>
      <c r="J144" s="5">
        <v>3.5</v>
      </c>
      <c r="K144" s="5">
        <v>0.08</v>
      </c>
      <c r="L144" s="8">
        <f t="shared" si="11"/>
        <v>3.42</v>
      </c>
      <c r="M144" s="6">
        <v>85.395809523809532</v>
      </c>
      <c r="O144" s="21">
        <v>14199.004999999999</v>
      </c>
      <c r="P144" s="21">
        <v>14175.761904761905</v>
      </c>
    </row>
    <row r="145" spans="1:16" x14ac:dyDescent="0.75">
      <c r="A145" s="4">
        <v>44501</v>
      </c>
      <c r="B145" s="7">
        <f t="shared" si="8"/>
        <v>14340</v>
      </c>
      <c r="C145" s="5">
        <v>1.44475921</v>
      </c>
      <c r="D145" s="5">
        <v>4.9725700000000002</v>
      </c>
      <c r="E145" s="8">
        <f t="shared" si="9"/>
        <v>-3.5278107900000002</v>
      </c>
      <c r="F145" s="5">
        <f>Sheet3!D161/Sheet3!C161</f>
        <v>0.45412678092656361</v>
      </c>
      <c r="G145" s="5">
        <f>Sheet3!E161/Sheet3!F161</f>
        <v>0.7868771214896001</v>
      </c>
      <c r="H145" s="6">
        <f t="shared" si="10"/>
        <v>0.57712540945005175</v>
      </c>
      <c r="I145" s="6">
        <f>LN(Sheet3!B161)</f>
        <v>14.426464353801869</v>
      </c>
      <c r="J145" s="5">
        <v>3.5</v>
      </c>
      <c r="K145" s="5">
        <v>0.08</v>
      </c>
      <c r="L145" s="8">
        <f t="shared" si="11"/>
        <v>3.42</v>
      </c>
      <c r="M145" s="6">
        <v>82.386590909090899</v>
      </c>
      <c r="O145" s="21">
        <v>14340</v>
      </c>
      <c r="P145" s="21">
        <v>14265.59090909091</v>
      </c>
    </row>
    <row r="146" spans="1:16" x14ac:dyDescent="0.75">
      <c r="A146" s="4">
        <v>44531</v>
      </c>
      <c r="B146" s="7">
        <f t="shared" si="8"/>
        <v>14269.004999999999</v>
      </c>
      <c r="C146" s="5">
        <v>1.5573383700000001</v>
      </c>
      <c r="D146" s="5">
        <v>5.4889900000000003</v>
      </c>
      <c r="E146" s="8">
        <f t="shared" si="9"/>
        <v>-3.9316516300000002</v>
      </c>
      <c r="F146" s="5">
        <f>Sheet3!D162/Sheet3!C162</f>
        <v>0.44518215872326572</v>
      </c>
      <c r="G146" s="5">
        <f>Sheet3!E162/Sheet3!F162</f>
        <v>0.81337381037521561</v>
      </c>
      <c r="H146" s="6">
        <f t="shared" si="10"/>
        <v>0.54732787439750463</v>
      </c>
      <c r="I146" s="6">
        <f>LN(Sheet3!B162)</f>
        <v>14.408660827985006</v>
      </c>
      <c r="J146" s="5">
        <v>3.5</v>
      </c>
      <c r="K146" s="5">
        <v>0.08</v>
      </c>
      <c r="L146" s="8">
        <f t="shared" si="11"/>
        <v>3.42</v>
      </c>
      <c r="M146" s="6">
        <v>78.842869565217384</v>
      </c>
      <c r="O146" s="21">
        <v>14269.004999999999</v>
      </c>
      <c r="P146" s="21">
        <v>14322.521739130434</v>
      </c>
    </row>
    <row r="147" spans="1:16" x14ac:dyDescent="0.75">
      <c r="A147" s="4">
        <v>44562</v>
      </c>
      <c r="B147" s="7">
        <f t="shared" si="8"/>
        <v>14381.004999999999</v>
      </c>
      <c r="C147" s="5">
        <v>1.8378887800000001</v>
      </c>
      <c r="D147" s="5">
        <v>6.0542899999999999</v>
      </c>
      <c r="E147" s="8">
        <f t="shared" si="9"/>
        <v>-4.2164012199999998</v>
      </c>
      <c r="F147" s="5">
        <f>Sheet3!D163/Sheet3!C163</f>
        <v>0.70440188543472071</v>
      </c>
      <c r="G147" s="5">
        <f>Sheet3!E163/Sheet3!F163</f>
        <v>0.68778854652481025</v>
      </c>
      <c r="H147" s="6">
        <f t="shared" si="10"/>
        <v>1.0241547187632778</v>
      </c>
      <c r="I147" s="6">
        <f>LN(Sheet3!B163)</f>
        <v>14.393588669227203</v>
      </c>
      <c r="J147" s="5">
        <v>3.5</v>
      </c>
      <c r="K147" s="5">
        <v>0.08</v>
      </c>
      <c r="L147" s="8">
        <f t="shared" si="11"/>
        <v>3.42</v>
      </c>
      <c r="M147" s="6">
        <v>83.264285714285705</v>
      </c>
      <c r="O147" s="21">
        <v>14381.004999999999</v>
      </c>
      <c r="P147" s="21">
        <v>14338</v>
      </c>
    </row>
    <row r="148" spans="1:16" x14ac:dyDescent="0.75">
      <c r="A148" s="4">
        <v>44593</v>
      </c>
      <c r="B148" s="7">
        <f t="shared" si="8"/>
        <v>14371.004999999999</v>
      </c>
      <c r="C148" s="5">
        <v>2.0335153500000001</v>
      </c>
      <c r="D148" s="5">
        <v>6.45512</v>
      </c>
      <c r="E148" s="8">
        <f t="shared" si="9"/>
        <v>-4.4216046499999999</v>
      </c>
      <c r="F148" s="5">
        <f>Sheet3!D164/Sheet3!C164</f>
        <v>0.45908428768498971</v>
      </c>
      <c r="G148" s="5">
        <f>Sheet3!E164/Sheet3!F164</f>
        <v>0.82001050910093387</v>
      </c>
      <c r="H148" s="6">
        <f t="shared" si="10"/>
        <v>0.55985171237419074</v>
      </c>
      <c r="I148" s="6">
        <f>LN(Sheet3!B164)</f>
        <v>14.404022193345112</v>
      </c>
      <c r="J148" s="5">
        <v>3.5</v>
      </c>
      <c r="K148" s="5">
        <v>0.08</v>
      </c>
      <c r="L148" s="8">
        <f t="shared" si="11"/>
        <v>3.42</v>
      </c>
      <c r="M148" s="6">
        <v>96.822449999999989</v>
      </c>
      <c r="O148" s="21">
        <v>14371.004999999999</v>
      </c>
      <c r="P148" s="21">
        <v>14351.35</v>
      </c>
    </row>
    <row r="149" spans="1:16" x14ac:dyDescent="0.75">
      <c r="A149" s="4">
        <v>44621</v>
      </c>
      <c r="B149" s="7">
        <f t="shared" si="8"/>
        <v>14349.004999999999</v>
      </c>
      <c r="C149" s="5">
        <v>2.3731048100000001</v>
      </c>
      <c r="D149" s="5">
        <v>6.48238</v>
      </c>
      <c r="E149" s="8">
        <f t="shared" si="9"/>
        <v>-4.10927519</v>
      </c>
      <c r="F149" s="5">
        <f>Sheet3!D165/Sheet3!C165</f>
        <v>0.43578282416230674</v>
      </c>
      <c r="G149" s="5">
        <f>Sheet3!E165/Sheet3!F165</f>
        <v>0.81461233800004718</v>
      </c>
      <c r="H149" s="6">
        <f t="shared" si="10"/>
        <v>0.53495730893567872</v>
      </c>
      <c r="I149" s="6">
        <f>LN(Sheet3!B165)</f>
        <v>14.390396245300266</v>
      </c>
      <c r="J149" s="5">
        <v>3.5</v>
      </c>
      <c r="K149" s="5">
        <v>0.2</v>
      </c>
      <c r="L149" s="8">
        <f t="shared" si="11"/>
        <v>3.3</v>
      </c>
      <c r="M149" s="6">
        <v>103.39260869565216</v>
      </c>
      <c r="O149" s="21">
        <v>14349.004999999999</v>
      </c>
      <c r="P149" s="21">
        <v>14349.04347826087</v>
      </c>
    </row>
    <row r="150" spans="1:16" x14ac:dyDescent="0.75">
      <c r="A150" s="4">
        <v>44652</v>
      </c>
      <c r="B150" s="7">
        <f t="shared" si="8"/>
        <v>14418</v>
      </c>
      <c r="C150" s="5">
        <v>2.5954485599999999</v>
      </c>
      <c r="D150" s="5">
        <v>6.1587399999999999</v>
      </c>
      <c r="E150" s="8">
        <f t="shared" si="9"/>
        <v>-3.56329144</v>
      </c>
      <c r="F150" s="5">
        <f>Sheet3!D166/Sheet3!C166</f>
        <v>0.49002454554191949</v>
      </c>
      <c r="G150" s="5">
        <f>Sheet3!E166/Sheet3!F166</f>
        <v>0.77499870042688479</v>
      </c>
      <c r="H150" s="6">
        <f t="shared" si="10"/>
        <v>0.63229079645166397</v>
      </c>
      <c r="I150" s="6">
        <f>LN(Sheet3!B166)</f>
        <v>14.3708094931124</v>
      </c>
      <c r="J150" s="5">
        <v>3.5</v>
      </c>
      <c r="K150" s="5">
        <v>0.33</v>
      </c>
      <c r="L150" s="8">
        <f t="shared" si="11"/>
        <v>3.17</v>
      </c>
      <c r="M150" s="6">
        <v>89.791095238095252</v>
      </c>
      <c r="O150" s="21">
        <v>14418</v>
      </c>
      <c r="P150" s="21">
        <v>14379.428571428571</v>
      </c>
    </row>
    <row r="151" spans="1:16" x14ac:dyDescent="0.75">
      <c r="A151" s="4">
        <v>44682</v>
      </c>
      <c r="B151" s="7">
        <f t="shared" si="8"/>
        <v>14544</v>
      </c>
      <c r="C151" s="5">
        <v>2.5797373399999999</v>
      </c>
      <c r="D151" s="5">
        <v>6.0254500000000002</v>
      </c>
      <c r="E151" s="8">
        <f t="shared" si="9"/>
        <v>-3.4457126600000003</v>
      </c>
      <c r="F151" s="5">
        <f>Sheet3!D167/Sheet3!C167</f>
        <v>0.42078700128037372</v>
      </c>
      <c r="G151" s="5">
        <f>Sheet3!E167/Sheet3!F167</f>
        <v>0.73597102706852213</v>
      </c>
      <c r="H151" s="6">
        <f t="shared" si="10"/>
        <v>0.57174397605898775</v>
      </c>
      <c r="I151" s="6">
        <f>LN(Sheet3!B167)</f>
        <v>14.354491066902426</v>
      </c>
      <c r="J151" s="5">
        <v>3.5</v>
      </c>
      <c r="K151" s="5">
        <v>0.77</v>
      </c>
      <c r="L151" s="8">
        <f t="shared" si="11"/>
        <v>2.73</v>
      </c>
      <c r="M151" s="6">
        <v>104.3930909090909</v>
      </c>
      <c r="O151" s="21">
        <v>14544</v>
      </c>
      <c r="P151" s="21">
        <v>14591.818181818182</v>
      </c>
    </row>
    <row r="152" spans="1:16" x14ac:dyDescent="0.75">
      <c r="A152" s="4">
        <v>44713</v>
      </c>
      <c r="B152" s="7">
        <f t="shared" si="8"/>
        <v>14848</v>
      </c>
      <c r="C152" s="5">
        <v>2.6323184999999998</v>
      </c>
      <c r="D152" s="5">
        <v>5.9063400000000001</v>
      </c>
      <c r="E152" s="8">
        <f t="shared" si="9"/>
        <v>-3.2740215000000004</v>
      </c>
      <c r="F152" s="5">
        <f>Sheet3!D168/Sheet3!C168</f>
        <v>0.4720367002699945</v>
      </c>
      <c r="G152" s="5">
        <f>Sheet3!E168/Sheet3!F168</f>
        <v>0.75458635874065816</v>
      </c>
      <c r="H152" s="6">
        <f t="shared" si="10"/>
        <v>0.62555689591021035</v>
      </c>
      <c r="I152" s="6">
        <f>LN(Sheet3!B168)</f>
        <v>14.391672831778203</v>
      </c>
      <c r="J152" s="5">
        <v>3.5</v>
      </c>
      <c r="K152" s="5">
        <v>1.21</v>
      </c>
      <c r="L152" s="8">
        <f t="shared" si="11"/>
        <v>2.29</v>
      </c>
      <c r="M152" s="6">
        <v>106.59518181818179</v>
      </c>
      <c r="O152" s="21">
        <v>14848</v>
      </c>
      <c r="P152" s="21">
        <v>14696.318181818182</v>
      </c>
    </row>
    <row r="153" spans="1:16" x14ac:dyDescent="0.75">
      <c r="A153" s="4">
        <v>44743</v>
      </c>
      <c r="B153" s="7">
        <f t="shared" si="8"/>
        <v>14958</v>
      </c>
      <c r="C153" s="5">
        <v>2.8552705500000002</v>
      </c>
      <c r="D153" s="5">
        <v>5.8999199999999998</v>
      </c>
      <c r="E153" s="8">
        <f t="shared" si="9"/>
        <v>-3.0446494499999996</v>
      </c>
      <c r="F153" s="5">
        <f>Sheet3!D169/Sheet3!C169</f>
        <v>0.43267992213850426</v>
      </c>
      <c r="G153" s="5">
        <f>Sheet3!E169/Sheet3!F169</f>
        <v>0.70771852918045042</v>
      </c>
      <c r="H153" s="6">
        <f t="shared" si="10"/>
        <v>0.61137288950107704</v>
      </c>
      <c r="I153" s="6">
        <f>LN(Sheet3!B169)</f>
        <v>14.3553237859178</v>
      </c>
      <c r="J153" s="5">
        <v>3.5</v>
      </c>
      <c r="K153" s="5">
        <v>1.68</v>
      </c>
      <c r="L153" s="8">
        <f t="shared" si="11"/>
        <v>1.82</v>
      </c>
      <c r="M153" s="6">
        <v>140.79195238095241</v>
      </c>
      <c r="O153" s="21">
        <v>14958</v>
      </c>
      <c r="P153" s="21">
        <v>14979.571428571429</v>
      </c>
    </row>
    <row r="154" spans="1:16" x14ac:dyDescent="0.75">
      <c r="A154" s="4">
        <v>44774</v>
      </c>
      <c r="B154" s="7">
        <f t="shared" si="8"/>
        <v>14875.004999999999</v>
      </c>
      <c r="C154" s="5">
        <v>3.0362481300000002</v>
      </c>
      <c r="D154" s="5">
        <v>6.2860899999999997</v>
      </c>
      <c r="E154" s="8">
        <f t="shared" si="9"/>
        <v>-3.2498418699999996</v>
      </c>
      <c r="F154" s="5">
        <f>Sheet3!D170/Sheet3!C170</f>
        <v>0.46905420527354147</v>
      </c>
      <c r="G154" s="5">
        <f>Sheet3!E170/Sheet3!F170</f>
        <v>0.73699030469922167</v>
      </c>
      <c r="H154" s="6">
        <f t="shared" si="10"/>
        <v>0.63644555740115261</v>
      </c>
      <c r="I154" s="6">
        <f>LN(Sheet3!B170)</f>
        <v>14.385019102252487</v>
      </c>
      <c r="J154" s="5">
        <v>3.75</v>
      </c>
      <c r="K154" s="5">
        <v>2.33</v>
      </c>
      <c r="L154" s="8">
        <f t="shared" si="11"/>
        <v>1.42</v>
      </c>
      <c r="M154" s="6">
        <v>104.94126086956521</v>
      </c>
      <c r="O154" s="21">
        <v>14875.004999999999</v>
      </c>
      <c r="P154" s="21">
        <v>14838.782608695652</v>
      </c>
    </row>
    <row r="155" spans="1:16" x14ac:dyDescent="0.75">
      <c r="A155" s="4">
        <v>44805</v>
      </c>
      <c r="B155" s="7">
        <f t="shared" si="8"/>
        <v>15247</v>
      </c>
      <c r="C155" s="5">
        <v>3.2095540200000001</v>
      </c>
      <c r="D155" s="5">
        <v>6.6242900000000002</v>
      </c>
      <c r="E155" s="8">
        <f t="shared" si="9"/>
        <v>-3.4147359800000001</v>
      </c>
      <c r="F155" s="5">
        <f>Sheet3!D171/Sheet3!C171</f>
        <v>0.40600487567579963</v>
      </c>
      <c r="G155" s="5">
        <f>Sheet3!E171/Sheet3!F171</f>
        <v>0.77609922052874658</v>
      </c>
      <c r="H155" s="6">
        <f t="shared" si="10"/>
        <v>0.52313527051243991</v>
      </c>
      <c r="I155" s="6">
        <f>LN(Sheet3!B171)</f>
        <v>14.377038396764828</v>
      </c>
      <c r="J155" s="5">
        <v>4.25</v>
      </c>
      <c r="K155" s="5">
        <v>2.56</v>
      </c>
      <c r="L155" s="8">
        <f t="shared" si="11"/>
        <v>1.69</v>
      </c>
      <c r="M155" s="6">
        <v>128.09490909090908</v>
      </c>
      <c r="O155" s="21">
        <v>15247</v>
      </c>
      <c r="P155" s="21">
        <v>14985.863636363636</v>
      </c>
    </row>
    <row r="156" spans="1:16" x14ac:dyDescent="0.75">
      <c r="A156" s="4">
        <v>44835</v>
      </c>
      <c r="B156" s="7">
        <f t="shared" si="8"/>
        <v>15542</v>
      </c>
      <c r="C156" s="5">
        <v>3.3100233100000001</v>
      </c>
      <c r="D156" s="5">
        <v>6.2949999999999999</v>
      </c>
      <c r="E156" s="8">
        <f t="shared" si="9"/>
        <v>-2.9849766899999999</v>
      </c>
      <c r="F156" s="5">
        <f>Sheet3!D172/Sheet3!C172</f>
        <v>0.40568666071741527</v>
      </c>
      <c r="G156" s="5">
        <f>Sheet3!E172/Sheet3!F172</f>
        <v>0.78834073837400642</v>
      </c>
      <c r="H156" s="6">
        <f t="shared" si="10"/>
        <v>0.5146082664130297</v>
      </c>
      <c r="I156" s="6">
        <f>LN(Sheet3!B172)</f>
        <v>14.38307135768436</v>
      </c>
      <c r="J156" s="5">
        <v>4.75</v>
      </c>
      <c r="K156" s="5">
        <v>3.08</v>
      </c>
      <c r="L156" s="8">
        <f t="shared" si="11"/>
        <v>1.67</v>
      </c>
      <c r="M156" s="6">
        <v>153.26790476190476</v>
      </c>
      <c r="O156" s="21">
        <v>15542</v>
      </c>
      <c r="P156" s="21">
        <v>15435.904761904761</v>
      </c>
    </row>
    <row r="157" spans="1:16" x14ac:dyDescent="0.75">
      <c r="A157" s="4">
        <v>44866</v>
      </c>
      <c r="B157" s="7">
        <f t="shared" si="8"/>
        <v>15737</v>
      </c>
      <c r="C157" s="5">
        <v>3.2951689499999999</v>
      </c>
      <c r="D157" s="5">
        <v>5.9698799999999999</v>
      </c>
      <c r="E157" s="8">
        <f t="shared" si="9"/>
        <v>-2.67471105</v>
      </c>
      <c r="F157" s="5">
        <f>Sheet3!D173/Sheet3!C173</f>
        <v>0.42091068128314835</v>
      </c>
      <c r="G157" s="5">
        <f>Sheet3!E173/Sheet3!F173</f>
        <v>0.79019660302903039</v>
      </c>
      <c r="H157" s="6">
        <f t="shared" si="10"/>
        <v>0.53266576908795549</v>
      </c>
      <c r="I157" s="6">
        <f>LN(Sheet3!B173)</f>
        <v>14.436900596387684</v>
      </c>
      <c r="J157" s="5">
        <v>5.25</v>
      </c>
      <c r="K157" s="5">
        <v>3.78</v>
      </c>
      <c r="L157" s="8">
        <f t="shared" si="11"/>
        <v>1.4700000000000002</v>
      </c>
      <c r="M157" s="6">
        <v>113.66349999999998</v>
      </c>
      <c r="O157" s="21">
        <v>15737</v>
      </c>
      <c r="P157" s="21">
        <v>15663.954545454546</v>
      </c>
    </row>
    <row r="158" spans="1:16" x14ac:dyDescent="0.75">
      <c r="A158" s="4">
        <v>44896</v>
      </c>
      <c r="B158" s="7">
        <f t="shared" si="8"/>
        <v>15731</v>
      </c>
      <c r="C158" s="5">
        <v>3.3550185899999998</v>
      </c>
      <c r="D158" s="5">
        <v>5.68553</v>
      </c>
      <c r="E158" s="8">
        <f t="shared" si="9"/>
        <v>-2.3305114100000002</v>
      </c>
      <c r="F158" s="5">
        <f>Sheet3!D174/Sheet3!C174</f>
        <v>0.43408550060799694</v>
      </c>
      <c r="G158" s="5">
        <f>Sheet3!E174/Sheet3!F174</f>
        <v>0.87827178101422076</v>
      </c>
      <c r="H158" s="6">
        <f t="shared" si="10"/>
        <v>0.49424962749767354</v>
      </c>
      <c r="I158" s="6">
        <f>LN(Sheet3!B174)</f>
        <v>14.456381166140423</v>
      </c>
      <c r="J158" s="5">
        <v>5.5</v>
      </c>
      <c r="K158" s="5">
        <v>4.0999999999999996</v>
      </c>
      <c r="L158" s="8">
        <f t="shared" si="11"/>
        <v>1.4000000000000004</v>
      </c>
      <c r="M158" s="6">
        <v>98.854909090909118</v>
      </c>
      <c r="O158" s="21">
        <v>15731</v>
      </c>
      <c r="P158" s="21">
        <v>15600.363636363636</v>
      </c>
    </row>
    <row r="159" spans="1:16" x14ac:dyDescent="0.75">
      <c r="A159" s="4">
        <v>44927</v>
      </c>
      <c r="B159" s="7">
        <f t="shared" si="8"/>
        <v>14979</v>
      </c>
      <c r="C159" s="5">
        <v>3.2670060200000002</v>
      </c>
      <c r="D159" s="5">
        <v>5.5395300000000001</v>
      </c>
      <c r="E159" s="8">
        <f t="shared" si="9"/>
        <v>-2.2725239799999999</v>
      </c>
      <c r="F159" s="5">
        <f>Sheet3!D175/Sheet3!C175</f>
        <v>0.43420943334224604</v>
      </c>
      <c r="G159" s="5">
        <f>Sheet3!E175/Sheet3!F175</f>
        <v>0.82946866409126696</v>
      </c>
      <c r="H159" s="6">
        <f t="shared" si="10"/>
        <v>0.52347900787541957</v>
      </c>
      <c r="I159" s="6">
        <f>LN(Sheet3!B175)</f>
        <v>14.457130584161977</v>
      </c>
      <c r="J159" s="5">
        <v>5.75</v>
      </c>
      <c r="K159" s="5">
        <v>4.33</v>
      </c>
      <c r="L159" s="8">
        <f t="shared" si="11"/>
        <v>1.42</v>
      </c>
      <c r="M159" s="6">
        <v>90.202136363636342</v>
      </c>
      <c r="O159" s="21">
        <v>14979</v>
      </c>
      <c r="P159" s="21">
        <v>15245.954545454546</v>
      </c>
    </row>
    <row r="160" spans="1:16" x14ac:dyDescent="0.75">
      <c r="A160" s="4">
        <v>44958</v>
      </c>
      <c r="B160" s="7">
        <f t="shared" si="8"/>
        <v>15274</v>
      </c>
      <c r="C160" s="5">
        <v>3.0909761900000001</v>
      </c>
      <c r="D160" s="5">
        <v>5.4982600000000001</v>
      </c>
      <c r="E160" s="8">
        <f t="shared" si="9"/>
        <v>-2.40728381</v>
      </c>
      <c r="F160" s="5">
        <f>Sheet3!D176/Sheet3!C176</f>
        <v>0.40109169639016029</v>
      </c>
      <c r="G160" s="5">
        <f>Sheet3!E176/Sheet3!F176</f>
        <v>0.83910962928215005</v>
      </c>
      <c r="H160" s="6">
        <f t="shared" si="10"/>
        <v>0.47799677466851409</v>
      </c>
      <c r="I160" s="6">
        <f>LN(Sheet3!B176)</f>
        <v>14.471908025374287</v>
      </c>
      <c r="J160" s="5">
        <v>5.75</v>
      </c>
      <c r="K160" s="5">
        <v>4.57</v>
      </c>
      <c r="L160" s="8">
        <f t="shared" si="11"/>
        <v>1.1799999999999997</v>
      </c>
      <c r="M160" s="6">
        <v>90.466800000000006</v>
      </c>
      <c r="O160" s="21">
        <v>15274</v>
      </c>
      <c r="P160" s="21">
        <v>15134.05</v>
      </c>
    </row>
    <row r="161" spans="1:16" x14ac:dyDescent="0.75">
      <c r="A161" s="4">
        <v>44986</v>
      </c>
      <c r="B161" s="7">
        <f t="shared" si="8"/>
        <v>15062</v>
      </c>
      <c r="C161" s="5">
        <v>2.9436114400000002</v>
      </c>
      <c r="D161" s="5">
        <v>5.5667400000000002</v>
      </c>
      <c r="E161" s="8">
        <f t="shared" si="9"/>
        <v>-2.6231285600000001</v>
      </c>
      <c r="F161" s="5">
        <f>Sheet3!D177/Sheet3!C177</f>
        <v>0.36610141343760483</v>
      </c>
      <c r="G161" s="5">
        <f>Sheet3!E177/Sheet3!F177</f>
        <v>0.84216200268158337</v>
      </c>
      <c r="H161" s="6">
        <f t="shared" si="10"/>
        <v>0.43471613807305159</v>
      </c>
      <c r="I161" s="6">
        <f>LN(Sheet3!B177)</f>
        <v>14.484729031446221</v>
      </c>
      <c r="J161" s="5">
        <v>5.75</v>
      </c>
      <c r="K161" s="5">
        <v>4.6500000000000004</v>
      </c>
      <c r="L161" s="8">
        <f t="shared" si="11"/>
        <v>1.0999999999999996</v>
      </c>
      <c r="M161" s="6">
        <v>102.52921739130434</v>
      </c>
      <c r="O161" s="21">
        <v>15062</v>
      </c>
      <c r="P161" s="21">
        <v>15283.217391304348</v>
      </c>
    </row>
    <row r="162" spans="1:16" x14ac:dyDescent="0.75">
      <c r="A162" s="4">
        <v>45017</v>
      </c>
      <c r="B162" s="7">
        <f t="shared" si="8"/>
        <v>14751</v>
      </c>
      <c r="C162" s="5">
        <v>2.83226398</v>
      </c>
      <c r="D162" s="5">
        <v>5.5143599999999999</v>
      </c>
      <c r="E162" s="8">
        <f t="shared" si="9"/>
        <v>-2.6820960199999999</v>
      </c>
      <c r="F162" s="5">
        <f>Sheet3!D178/Sheet3!C178</f>
        <v>0.34320470862468178</v>
      </c>
      <c r="G162" s="5">
        <f>Sheet3!E178/Sheet3!F178</f>
        <v>0.90559942487880385</v>
      </c>
      <c r="H162" s="6">
        <f t="shared" si="10"/>
        <v>0.37898070515074894</v>
      </c>
      <c r="I162" s="6">
        <f>LN(Sheet3!B178)</f>
        <v>14.475008839584319</v>
      </c>
      <c r="J162" s="5">
        <v>5.75</v>
      </c>
      <c r="K162" s="5">
        <v>4.83</v>
      </c>
      <c r="L162" s="8">
        <f t="shared" si="11"/>
        <v>0.91999999999999993</v>
      </c>
      <c r="M162" s="6">
        <v>93.353300000000004</v>
      </c>
      <c r="O162" s="21">
        <v>14751</v>
      </c>
      <c r="P162" s="21">
        <v>14840.15</v>
      </c>
    </row>
    <row r="163" spans="1:16" x14ac:dyDescent="0.75">
      <c r="A163" s="4">
        <v>45047</v>
      </c>
      <c r="B163" s="7">
        <f t="shared" si="8"/>
        <v>14969</v>
      </c>
      <c r="C163" s="5">
        <v>2.6611796999999999</v>
      </c>
      <c r="D163" s="5">
        <v>5.3375500000000002</v>
      </c>
      <c r="E163" s="8">
        <f t="shared" si="9"/>
        <v>-2.6763703000000003</v>
      </c>
      <c r="F163" s="5">
        <f>Sheet3!D179/Sheet3!C179</f>
        <v>0.37895563165831631</v>
      </c>
      <c r="G163" s="5">
        <f>Sheet3!E179/Sheet3!F179</f>
        <v>0.88203735713067877</v>
      </c>
      <c r="H163" s="6">
        <f t="shared" si="10"/>
        <v>0.42963671390413899</v>
      </c>
      <c r="I163" s="6">
        <f>LN(Sheet3!B179)</f>
        <v>14.442697344604479</v>
      </c>
      <c r="J163" s="5">
        <v>5.75</v>
      </c>
      <c r="K163" s="5">
        <v>5.0599999999999996</v>
      </c>
      <c r="L163" s="8">
        <f t="shared" si="11"/>
        <v>0.69000000000000039</v>
      </c>
      <c r="M163" s="6">
        <v>94.360217391304346</v>
      </c>
      <c r="O163" s="21">
        <v>14969</v>
      </c>
      <c r="P163" s="21">
        <v>14819.434782608696</v>
      </c>
    </row>
    <row r="164" spans="1:16" x14ac:dyDescent="0.75">
      <c r="A164" s="4">
        <v>45078</v>
      </c>
      <c r="B164" s="7">
        <f t="shared" si="8"/>
        <v>15026</v>
      </c>
      <c r="C164" s="5">
        <v>2.58305951</v>
      </c>
      <c r="D164" s="5">
        <v>4.8536000000000001</v>
      </c>
      <c r="E164" s="8">
        <f t="shared" si="9"/>
        <v>-2.2705404900000001</v>
      </c>
      <c r="F164" s="5">
        <f>Sheet3!D180/Sheet3!C180</f>
        <v>0.38039192827976576</v>
      </c>
      <c r="G164" s="5">
        <f>Sheet3!E180/Sheet3!F180</f>
        <v>0.85626783954752583</v>
      </c>
      <c r="H164" s="6">
        <f t="shared" si="10"/>
        <v>0.44424409128897652</v>
      </c>
      <c r="I164" s="6">
        <f>LN(Sheet3!B180)</f>
        <v>14.422319281981922</v>
      </c>
      <c r="J164" s="5">
        <v>5.75</v>
      </c>
      <c r="K164" s="5">
        <v>5.08</v>
      </c>
      <c r="L164" s="8">
        <f t="shared" si="11"/>
        <v>0.66999999999999993</v>
      </c>
      <c r="M164" s="6">
        <v>85.735772727272717</v>
      </c>
      <c r="O164" s="21">
        <v>15026</v>
      </c>
      <c r="P164" s="21">
        <v>14941.59090909091</v>
      </c>
    </row>
    <row r="165" spans="1:16" x14ac:dyDescent="0.75">
      <c r="A165" s="4">
        <v>45108</v>
      </c>
      <c r="B165" s="7">
        <f t="shared" si="8"/>
        <v>15083</v>
      </c>
      <c r="C165" s="5">
        <v>2.4301447199999999</v>
      </c>
      <c r="D165" s="5">
        <v>4.7009699999999999</v>
      </c>
      <c r="E165" s="8">
        <f t="shared" si="9"/>
        <v>-2.2708252799999999</v>
      </c>
      <c r="F165" s="5">
        <f>Sheet3!D181/Sheet3!C181</f>
        <v>0.35484201458453357</v>
      </c>
      <c r="G165" s="5">
        <f>Sheet3!E181/Sheet3!F181</f>
        <v>0.92608377491271654</v>
      </c>
      <c r="H165" s="6">
        <f t="shared" si="10"/>
        <v>0.38316405512878948</v>
      </c>
      <c r="I165" s="6">
        <f>LN(Sheet3!B181)</f>
        <v>14.441882510354754</v>
      </c>
      <c r="J165" s="5">
        <v>5.75</v>
      </c>
      <c r="K165" s="5">
        <v>5.12</v>
      </c>
      <c r="L165" s="8">
        <f t="shared" si="11"/>
        <v>0.62999999999999989</v>
      </c>
      <c r="M165" s="6">
        <v>81.811285714285717</v>
      </c>
      <c r="O165" s="21">
        <v>15083</v>
      </c>
      <c r="P165" s="21">
        <v>15036.619047619048</v>
      </c>
    </row>
    <row r="166" spans="1:16" x14ac:dyDescent="0.75">
      <c r="A166" s="4">
        <v>45139</v>
      </c>
      <c r="B166" s="7">
        <f t="shared" si="8"/>
        <v>15239</v>
      </c>
      <c r="C166" s="5">
        <v>2.1760812399999998</v>
      </c>
      <c r="D166" s="5">
        <v>4.3991400000000001</v>
      </c>
      <c r="E166" s="8">
        <f t="shared" si="9"/>
        <v>-2.2230587600000002</v>
      </c>
      <c r="F166" s="5">
        <f>Sheet3!D182/Sheet3!C182</f>
        <v>0.3831744225870804</v>
      </c>
      <c r="G166" s="5">
        <f>Sheet3!E182/Sheet3!F182</f>
        <v>0.85984061968925696</v>
      </c>
      <c r="H166" s="6">
        <f t="shared" si="10"/>
        <v>0.44563424175698763</v>
      </c>
      <c r="I166" s="6">
        <f>LN(Sheet3!B182)</f>
        <v>14.430769272762792</v>
      </c>
      <c r="J166" s="5">
        <v>5.75</v>
      </c>
      <c r="K166" s="5">
        <v>5.33</v>
      </c>
      <c r="L166" s="8">
        <f t="shared" si="11"/>
        <v>0.41999999999999993</v>
      </c>
      <c r="M166" s="6">
        <v>83.005304347826069</v>
      </c>
      <c r="O166" s="21">
        <v>15239</v>
      </c>
      <c r="P166" s="21">
        <v>15245.217391304348</v>
      </c>
    </row>
    <row r="167" spans="1:16" x14ac:dyDescent="0.75">
      <c r="A167" s="4">
        <v>45170</v>
      </c>
      <c r="B167" s="7">
        <f t="shared" si="8"/>
        <v>15526</v>
      </c>
      <c r="C167" s="5">
        <v>1.9978304099999999</v>
      </c>
      <c r="D167" s="5">
        <v>4.1287500000000001</v>
      </c>
      <c r="E167" s="8">
        <f t="shared" si="9"/>
        <v>-2.1309195900000004</v>
      </c>
      <c r="F167" s="5">
        <f>Sheet3!D183/Sheet3!C183</f>
        <v>0.3703919669021557</v>
      </c>
      <c r="G167" s="5">
        <f>Sheet3!E183/Sheet3!F183</f>
        <v>0.89686119703645006</v>
      </c>
      <c r="H167" s="6">
        <f t="shared" si="10"/>
        <v>0.41298694616966719</v>
      </c>
      <c r="I167" s="6">
        <f>LN(Sheet3!B183)</f>
        <v>14.435301884305034</v>
      </c>
      <c r="J167" s="5">
        <v>5.75</v>
      </c>
      <c r="K167" s="5">
        <v>5.33</v>
      </c>
      <c r="L167" s="8">
        <f t="shared" si="11"/>
        <v>0.41999999999999993</v>
      </c>
      <c r="M167" s="6">
        <v>83.577380952380949</v>
      </c>
      <c r="O167" s="21">
        <v>15526</v>
      </c>
      <c r="P167" s="21">
        <v>15366.666666666666</v>
      </c>
    </row>
    <row r="168" spans="1:16" x14ac:dyDescent="0.75">
      <c r="A168" s="4">
        <v>45200</v>
      </c>
      <c r="B168" s="7">
        <f t="shared" si="8"/>
        <v>15916</v>
      </c>
      <c r="C168" s="5">
        <v>1.9133574</v>
      </c>
      <c r="D168" s="5">
        <v>4.0274000000000001</v>
      </c>
      <c r="E168" s="8">
        <f t="shared" si="9"/>
        <v>-2.1140426000000003</v>
      </c>
      <c r="F168" s="5">
        <f>Sheet3!D184/Sheet3!C184</f>
        <v>0.34074805900360738</v>
      </c>
      <c r="G168" s="5">
        <f>Sheet3!E184/Sheet3!F184</f>
        <v>0.86577826634674637</v>
      </c>
      <c r="H168" s="6">
        <f t="shared" si="10"/>
        <v>0.39357428137048767</v>
      </c>
      <c r="I168" s="6">
        <f>LN(Sheet3!B184)</f>
        <v>14.43128176935736</v>
      </c>
      <c r="J168" s="5">
        <v>6</v>
      </c>
      <c r="K168" s="5">
        <v>5.33</v>
      </c>
      <c r="L168" s="8">
        <f t="shared" si="11"/>
        <v>0.66999999999999993</v>
      </c>
      <c r="M168" s="6">
        <v>98.448727272727268</v>
      </c>
      <c r="O168" s="21">
        <v>15916</v>
      </c>
      <c r="P168" s="21">
        <v>15754.681818181818</v>
      </c>
    </row>
    <row r="169" spans="1:16" x14ac:dyDescent="0.75">
      <c r="A169" s="4">
        <v>45231</v>
      </c>
      <c r="B169" s="7">
        <f t="shared" si="8"/>
        <v>15384</v>
      </c>
      <c r="C169" s="5">
        <v>1.87438046</v>
      </c>
      <c r="D169" s="5">
        <v>4.0179799999999997</v>
      </c>
      <c r="E169" s="8">
        <f t="shared" si="9"/>
        <v>-2.1435995399999994</v>
      </c>
      <c r="F169" s="5">
        <f>Sheet3!D185/Sheet3!C185</f>
        <v>0.34614745898465349</v>
      </c>
      <c r="G169" s="5">
        <f>Sheet3!E185/Sheet3!F185</f>
        <v>0.93678915436960297</v>
      </c>
      <c r="H169" s="6">
        <f t="shared" si="10"/>
        <v>0.36950412733758409</v>
      </c>
      <c r="I169" s="6">
        <f>LN(Sheet3!B185)</f>
        <v>14.440280392919481</v>
      </c>
      <c r="J169" s="5">
        <v>6</v>
      </c>
      <c r="K169" s="5">
        <v>5.33</v>
      </c>
      <c r="L169" s="8">
        <f t="shared" si="11"/>
        <v>0.66999999999999993</v>
      </c>
      <c r="M169" s="6">
        <v>80.58750000000002</v>
      </c>
      <c r="O169" s="21">
        <v>15384</v>
      </c>
      <c r="P169" s="21">
        <v>15594.136363636364</v>
      </c>
    </row>
    <row r="170" spans="1:16" x14ac:dyDescent="0.75">
      <c r="A170" s="4">
        <v>45261</v>
      </c>
      <c r="B170" s="7">
        <f t="shared" si="8"/>
        <v>15416</v>
      </c>
      <c r="C170" s="5">
        <v>1.79839942</v>
      </c>
      <c r="D170" s="5">
        <v>3.91547</v>
      </c>
      <c r="E170" s="8">
        <f t="shared" si="9"/>
        <v>-2.11707058</v>
      </c>
      <c r="F170" s="5">
        <f>Sheet3!D186/Sheet3!C186</f>
        <v>0.34375183919200875</v>
      </c>
      <c r="G170" s="5">
        <f>Sheet3!E186/Sheet3!F186</f>
        <v>1.0571435026770153</v>
      </c>
      <c r="H170" s="6">
        <f t="shared" si="10"/>
        <v>0.32517046013291712</v>
      </c>
      <c r="I170" s="6">
        <f>LN(Sheet3!B186)</f>
        <v>14.492111657998915</v>
      </c>
      <c r="J170" s="5">
        <v>6</v>
      </c>
      <c r="K170" s="5">
        <v>5.33</v>
      </c>
      <c r="L170" s="8">
        <f t="shared" si="11"/>
        <v>0.66999999999999993</v>
      </c>
      <c r="M170" s="6">
        <v>72.753285714285695</v>
      </c>
      <c r="O170" s="21">
        <v>15416</v>
      </c>
      <c r="P170" s="21">
        <v>15504.476190476191</v>
      </c>
    </row>
    <row r="171" spans="1:16" x14ac:dyDescent="0.75">
      <c r="A171" s="4">
        <v>45292</v>
      </c>
      <c r="B171" s="7">
        <f t="shared" si="8"/>
        <v>15796</v>
      </c>
      <c r="C171" s="5">
        <v>1.6843971600000001</v>
      </c>
      <c r="D171" s="5">
        <v>3.8583500000000002</v>
      </c>
      <c r="E171" s="8">
        <f t="shared" si="9"/>
        <v>-2.1739528400000001</v>
      </c>
      <c r="F171" s="5">
        <f>Sheet3!D187/Sheet3!C187</f>
        <v>0.36885203396894567</v>
      </c>
      <c r="G171" s="5">
        <f>Sheet3!E187/Sheet3!F187</f>
        <v>0.92761946951899632</v>
      </c>
      <c r="H171" s="6">
        <f t="shared" si="10"/>
        <v>0.3976329153162434</v>
      </c>
      <c r="I171" s="6">
        <f>LN(Sheet3!B187)</f>
        <v>14.503644673082448</v>
      </c>
      <c r="J171" s="5">
        <v>6</v>
      </c>
      <c r="K171" s="5">
        <v>5.33</v>
      </c>
      <c r="L171" s="8">
        <f t="shared" si="11"/>
        <v>0.66999999999999993</v>
      </c>
      <c r="M171" s="6">
        <v>74.998478260869575</v>
      </c>
      <c r="O171" s="21">
        <v>15796</v>
      </c>
      <c r="P171" s="21">
        <v>15612.04347826087</v>
      </c>
    </row>
    <row r="172" spans="1:16" x14ac:dyDescent="0.75">
      <c r="A172" s="4">
        <v>45323</v>
      </c>
      <c r="B172" s="7">
        <f t="shared" si="8"/>
        <v>15673</v>
      </c>
      <c r="C172" s="5">
        <v>1.6820775100000001</v>
      </c>
      <c r="D172" s="5">
        <v>3.7619600000000002</v>
      </c>
      <c r="E172" s="8">
        <f t="shared" si="9"/>
        <v>-2.0798824900000001</v>
      </c>
      <c r="F172" s="5">
        <f>Sheet3!D188/Sheet3!C188</f>
        <v>0.33690749578055884</v>
      </c>
      <c r="G172" s="5">
        <f>Sheet3!E188/Sheet3!F188</f>
        <v>0.93572106227910512</v>
      </c>
      <c r="H172" s="6">
        <f t="shared" si="10"/>
        <v>0.36005120474681235</v>
      </c>
      <c r="I172" s="6">
        <f>LN(Sheet3!B188)</f>
        <v>14.494659518505912</v>
      </c>
      <c r="J172" s="5">
        <v>6</v>
      </c>
      <c r="K172" s="5">
        <v>5.33</v>
      </c>
      <c r="L172" s="8">
        <f t="shared" si="11"/>
        <v>0.66999999999999993</v>
      </c>
      <c r="M172" s="6">
        <v>72.257095238095232</v>
      </c>
      <c r="O172" s="21">
        <v>15673</v>
      </c>
      <c r="P172" s="21">
        <v>15646.095238095239</v>
      </c>
    </row>
    <row r="173" spans="1:16" x14ac:dyDescent="0.75">
      <c r="A173" s="4">
        <v>45352</v>
      </c>
      <c r="B173" s="7">
        <f t="shared" si="8"/>
        <v>15853</v>
      </c>
      <c r="C173" s="5">
        <v>1.7679992099999999</v>
      </c>
      <c r="D173" s="5">
        <v>3.8161900000000002</v>
      </c>
      <c r="E173" s="8">
        <f t="shared" si="9"/>
        <v>-2.0481907900000005</v>
      </c>
      <c r="F173" s="5">
        <f>Sheet3!D189/Sheet3!C189</f>
        <v>0.3698566081659041</v>
      </c>
      <c r="G173" s="5">
        <f>Sheet3!E189/Sheet3!F189</f>
        <v>1.0021562011377645</v>
      </c>
      <c r="H173" s="6">
        <f t="shared" si="10"/>
        <v>0.3690608387654537</v>
      </c>
      <c r="I173" s="6">
        <f>LN(Sheet3!B189)</f>
        <v>14.473392104842597</v>
      </c>
      <c r="J173" s="5">
        <v>6</v>
      </c>
      <c r="K173" s="5">
        <v>5.33</v>
      </c>
      <c r="L173" s="8">
        <f t="shared" si="11"/>
        <v>0.66999999999999993</v>
      </c>
      <c r="M173" s="6">
        <v>70.242666666666665</v>
      </c>
      <c r="O173" s="21">
        <v>15853</v>
      </c>
      <c r="P173" s="21">
        <v>15704.761904761905</v>
      </c>
    </row>
    <row r="174" spans="1:16" x14ac:dyDescent="0.75">
      <c r="A174" s="4">
        <v>45383</v>
      </c>
      <c r="B174" s="7">
        <f t="shared" si="8"/>
        <v>16249</v>
      </c>
      <c r="C174" s="5">
        <v>1.8226359599999999</v>
      </c>
      <c r="D174" s="5">
        <v>3.6260300000000001</v>
      </c>
      <c r="E174" s="8">
        <f t="shared" si="9"/>
        <v>-1.8033940400000001</v>
      </c>
      <c r="F174" s="5">
        <f>Sheet3!D190/Sheet3!C190</f>
        <v>0.33774656961830546</v>
      </c>
      <c r="G174" s="5">
        <f>Sheet3!E190/Sheet3!F190</f>
        <v>1.0128739779156821</v>
      </c>
      <c r="H174" s="6">
        <f t="shared" si="10"/>
        <v>0.3334536941242473</v>
      </c>
      <c r="I174" s="6">
        <f>LN(Sheet3!B190)</f>
        <v>14.463942174933683</v>
      </c>
      <c r="J174" s="5">
        <v>6.25</v>
      </c>
      <c r="K174" s="5">
        <v>5.33</v>
      </c>
      <c r="L174" s="8">
        <f t="shared" si="11"/>
        <v>0.91999999999999993</v>
      </c>
      <c r="M174" s="6">
        <v>76.358227272727262</v>
      </c>
      <c r="O174" s="21">
        <v>16249</v>
      </c>
      <c r="P174" s="21">
        <v>16039.181818181818</v>
      </c>
    </row>
    <row r="175" spans="1:16" x14ac:dyDescent="0.75">
      <c r="A175" s="4">
        <v>45413</v>
      </c>
      <c r="B175" s="7">
        <f t="shared" si="8"/>
        <v>16253</v>
      </c>
      <c r="C175" s="5">
        <v>1.9291030199999999</v>
      </c>
      <c r="D175" s="5">
        <v>3.3944200000000002</v>
      </c>
      <c r="E175" s="8">
        <f t="shared" si="9"/>
        <v>-1.4653169800000003</v>
      </c>
      <c r="F175" s="5">
        <f>Sheet3!D191/Sheet3!C191</f>
        <v>0.36735615117046527</v>
      </c>
      <c r="G175" s="5">
        <f>Sheet3!E191/Sheet3!F191</f>
        <v>0.98298057692311647</v>
      </c>
      <c r="H175" s="6">
        <f t="shared" si="10"/>
        <v>0.37371659195988155</v>
      </c>
      <c r="I175" s="6">
        <f>LN(Sheet3!B191)</f>
        <v>14.448188580153968</v>
      </c>
      <c r="J175" s="5">
        <v>6.25</v>
      </c>
      <c r="K175" s="5">
        <v>5.33</v>
      </c>
      <c r="L175" s="8">
        <f t="shared" si="11"/>
        <v>0.91999999999999993</v>
      </c>
      <c r="M175" s="6">
        <v>71.828565217391315</v>
      </c>
      <c r="O175" s="21">
        <v>16253</v>
      </c>
      <c r="P175" s="21">
        <v>16069.739130434782</v>
      </c>
    </row>
    <row r="176" spans="1:16" x14ac:dyDescent="0.75">
      <c r="A176" s="4">
        <v>45444</v>
      </c>
      <c r="B176" s="7">
        <f t="shared" si="8"/>
        <v>16421</v>
      </c>
      <c r="C176" s="5">
        <v>1.8973105100000001</v>
      </c>
      <c r="D176" s="5">
        <v>3.2654200000000002</v>
      </c>
      <c r="E176" s="8">
        <f t="shared" si="9"/>
        <v>-1.3681094900000002</v>
      </c>
      <c r="F176" s="5">
        <f>Sheet3!D192/Sheet3!C192</f>
        <v>0.35203229149962362</v>
      </c>
      <c r="G176" s="5">
        <f>Sheet3!E192/Sheet3!F192</f>
        <v>0.9951273987398388</v>
      </c>
      <c r="H176" s="6">
        <f t="shared" si="10"/>
        <v>0.35375600344781299</v>
      </c>
      <c r="I176" s="6">
        <f>LN(Sheet3!B192)</f>
        <v>14.452617476143395</v>
      </c>
      <c r="J176" s="5">
        <v>6.25</v>
      </c>
      <c r="K176" s="5">
        <v>5.33</v>
      </c>
      <c r="L176" s="8">
        <f t="shared" si="11"/>
        <v>0.91999999999999993</v>
      </c>
      <c r="M176" s="6">
        <v>75.124750000000006</v>
      </c>
      <c r="O176" s="21">
        <v>16421</v>
      </c>
      <c r="P176" s="21">
        <v>16335.85</v>
      </c>
    </row>
    <row r="177" spans="1:16" x14ac:dyDescent="0.75">
      <c r="A177" s="4">
        <v>45474</v>
      </c>
      <c r="B177" s="7">
        <f t="shared" si="8"/>
        <v>16320</v>
      </c>
      <c r="C177" s="5">
        <v>1.95350654</v>
      </c>
      <c r="D177" s="5">
        <v>3.2301899999999999</v>
      </c>
      <c r="E177" s="8">
        <f t="shared" si="9"/>
        <v>-1.2766834599999999</v>
      </c>
      <c r="F177" s="5">
        <f>Sheet3!D193/Sheet3!C193</f>
        <v>0.37648205909906068</v>
      </c>
      <c r="G177" s="5">
        <f>Sheet3!E193/Sheet3!F193</f>
        <v>1.0243276797732079</v>
      </c>
      <c r="H177" s="6">
        <f t="shared" si="10"/>
        <v>0.36754064791299595</v>
      </c>
      <c r="I177" s="6">
        <f>LN(Sheet3!B193)</f>
        <v>14.440424936861003</v>
      </c>
      <c r="J177" s="5">
        <v>6.25</v>
      </c>
      <c r="K177" s="5">
        <v>5.33</v>
      </c>
      <c r="L177" s="8">
        <f t="shared" si="11"/>
        <v>0.91999999999999993</v>
      </c>
      <c r="M177" s="6">
        <v>74.01926086956523</v>
      </c>
      <c r="O177" s="21">
        <v>16320</v>
      </c>
      <c r="P177" s="21">
        <v>16243.260869565218</v>
      </c>
    </row>
    <row r="178" spans="1:16" x14ac:dyDescent="0.75">
      <c r="A178" s="4">
        <v>45505</v>
      </c>
      <c r="B178" s="7">
        <f t="shared" si="8"/>
        <v>15409</v>
      </c>
      <c r="C178" s="5">
        <v>2.0191182200000002</v>
      </c>
      <c r="D178" s="5">
        <v>3.2850999999999999</v>
      </c>
      <c r="E178" s="8">
        <f t="shared" si="9"/>
        <v>-1.2659817799999997</v>
      </c>
      <c r="F178" s="5">
        <f>Sheet3!D194/Sheet3!C194</f>
        <v>0.38153520786796447</v>
      </c>
      <c r="G178" s="5">
        <f>Sheet3!E194/Sheet3!F194</f>
        <v>0.98269259986607138</v>
      </c>
      <c r="H178" s="6">
        <f t="shared" si="10"/>
        <v>0.38825489061377172</v>
      </c>
      <c r="I178" s="6">
        <f>LN(Sheet3!B194)</f>
        <v>14.419220675754348</v>
      </c>
      <c r="J178" s="5">
        <v>6.25</v>
      </c>
      <c r="K178" s="5">
        <v>5.33</v>
      </c>
      <c r="L178" s="8">
        <f t="shared" si="11"/>
        <v>0.91999999999999993</v>
      </c>
      <c r="M178" s="6">
        <v>73.582590909090911</v>
      </c>
      <c r="O178" s="21">
        <v>15409</v>
      </c>
      <c r="P178" s="21">
        <v>15739.727272727272</v>
      </c>
    </row>
    <row r="179" spans="1:16" x14ac:dyDescent="0.75">
      <c r="A179" s="4">
        <v>45536</v>
      </c>
      <c r="B179" s="7">
        <f t="shared" si="8"/>
        <v>15138</v>
      </c>
      <c r="C179" s="5">
        <v>2.0853634799999998</v>
      </c>
      <c r="D179" s="5">
        <v>3.2823600000000002</v>
      </c>
      <c r="E179" s="8">
        <f t="shared" si="9"/>
        <v>-1.1969965200000003</v>
      </c>
      <c r="F179" s="5">
        <f>Sheet3!D195/Sheet3!C195</f>
        <v>0.35278738320456837</v>
      </c>
      <c r="G179" s="5">
        <f>Sheet3!E195/Sheet3!F195</f>
        <v>0.98483649802566786</v>
      </c>
      <c r="H179" s="6">
        <f t="shared" si="10"/>
        <v>0.35821924137845434</v>
      </c>
      <c r="I179" s="6">
        <f>LN(Sheet3!B195)</f>
        <v>14.431893002758931</v>
      </c>
      <c r="J179" s="5">
        <v>6</v>
      </c>
      <c r="K179" s="5">
        <v>5.13</v>
      </c>
      <c r="L179" s="8">
        <f t="shared" si="11"/>
        <v>0.87000000000000011</v>
      </c>
      <c r="M179" s="6">
        <v>69.288714285714278</v>
      </c>
      <c r="O179" s="21">
        <v>15138</v>
      </c>
      <c r="P179" s="21">
        <v>15323.904761904761</v>
      </c>
    </row>
    <row r="180" spans="1:16" x14ac:dyDescent="0.75">
      <c r="A180" s="4">
        <v>45566</v>
      </c>
      <c r="B180" s="7">
        <f t="shared" si="8"/>
        <v>15732</v>
      </c>
      <c r="C180" s="5">
        <v>2.20989097</v>
      </c>
      <c r="D180" s="5">
        <v>3.2986900000000001</v>
      </c>
      <c r="E180" s="8">
        <f t="shared" si="9"/>
        <v>-1.0887990300000001</v>
      </c>
      <c r="F180" s="5">
        <f>Sheet3!D196/Sheet3!C196</f>
        <v>0.36319352899081381</v>
      </c>
      <c r="G180" s="5">
        <f>Sheet3!E196/Sheet3!F196</f>
        <v>1.0231544257799419</v>
      </c>
      <c r="H180" s="6">
        <f t="shared" si="10"/>
        <v>0.35497430284187498</v>
      </c>
      <c r="I180" s="6">
        <f>LN(Sheet3!B196)</f>
        <v>14.446860397716591</v>
      </c>
      <c r="J180" s="5">
        <v>6</v>
      </c>
      <c r="K180" s="5">
        <v>4.83</v>
      </c>
      <c r="L180" s="8">
        <f t="shared" si="11"/>
        <v>1.17</v>
      </c>
      <c r="M180" s="6">
        <v>68.92404347826087</v>
      </c>
      <c r="O180" s="21">
        <v>15732</v>
      </c>
      <c r="P180" s="21">
        <v>15563.217391304348</v>
      </c>
    </row>
    <row r="181" spans="1:16" x14ac:dyDescent="0.75">
      <c r="A181" s="4">
        <v>45597</v>
      </c>
      <c r="B181" s="7">
        <f t="shared" si="8"/>
        <v>15864</v>
      </c>
      <c r="C181" s="5">
        <v>2.2557122000000001</v>
      </c>
      <c r="D181" s="5">
        <v>3.2859400000000001</v>
      </c>
      <c r="E181" s="8">
        <f t="shared" si="9"/>
        <v>-1.0302278</v>
      </c>
      <c r="F181" s="5">
        <f>Sheet3!D197/Sheet3!C197</f>
        <v>0.36455125786842441</v>
      </c>
      <c r="G181" s="5">
        <f>Sheet3!E197/Sheet3!F197</f>
        <v>0.98929850103278083</v>
      </c>
      <c r="H181" s="6">
        <f t="shared" si="10"/>
        <v>0.36849470355797581</v>
      </c>
      <c r="I181" s="6">
        <f>LN(Sheet3!B197)</f>
        <v>14.450670807970832</v>
      </c>
      <c r="J181" s="5">
        <v>6</v>
      </c>
      <c r="K181" s="5">
        <v>4.6399999999999997</v>
      </c>
      <c r="L181" s="8">
        <f t="shared" si="11"/>
        <v>1.3600000000000003</v>
      </c>
      <c r="M181" s="6">
        <v>72.635238095238094</v>
      </c>
      <c r="O181" s="21">
        <v>15864</v>
      </c>
      <c r="P181" s="21">
        <v>15818</v>
      </c>
    </row>
    <row r="182" spans="1:16" x14ac:dyDescent="0.75">
      <c r="A182" s="4">
        <v>45627</v>
      </c>
      <c r="B182" s="7">
        <f t="shared" si="8"/>
        <v>16162</v>
      </c>
      <c r="C182" s="5">
        <v>2.26169676</v>
      </c>
      <c r="D182" s="5">
        <v>3.21333</v>
      </c>
      <c r="E182" s="8">
        <f t="shared" si="9"/>
        <v>-0.95163324000000005</v>
      </c>
      <c r="F182" s="5">
        <f>Sheet3!D198/Sheet3!C198</f>
        <v>0.35233595848365962</v>
      </c>
      <c r="G182" s="5">
        <f>Sheet3!E198/Sheet3!F198</f>
        <v>0.97076318517434612</v>
      </c>
      <c r="H182" s="6">
        <f t="shared" si="10"/>
        <v>0.36294738393934989</v>
      </c>
      <c r="I182" s="6">
        <f>LN(Sheet3!B198)</f>
        <v>14.499970537321801</v>
      </c>
      <c r="J182" s="5">
        <v>6</v>
      </c>
      <c r="K182" s="5">
        <v>4.4800000000000004</v>
      </c>
      <c r="L182" s="8">
        <f t="shared" si="11"/>
        <v>1.5199999999999996</v>
      </c>
      <c r="M182" s="6">
        <v>74.619590909090917</v>
      </c>
      <c r="O182" s="21">
        <v>16162</v>
      </c>
      <c r="P182" s="21">
        <v>16041.681818181818</v>
      </c>
    </row>
    <row r="183" spans="1:16" x14ac:dyDescent="0.75">
      <c r="A183" s="4">
        <v>45658</v>
      </c>
      <c r="B183" s="7">
        <f t="shared" si="8"/>
        <v>16259</v>
      </c>
      <c r="C183" s="5">
        <v>2.36365398</v>
      </c>
      <c r="D183" s="5">
        <v>3.2829700000000002</v>
      </c>
      <c r="E183" s="8">
        <f t="shared" si="9"/>
        <v>-0.91931602000000012</v>
      </c>
      <c r="F183" s="5">
        <f>Sheet3!D199/Sheet3!C199</f>
        <v>0.38782846470919263</v>
      </c>
      <c r="G183" s="5">
        <f>Sheet3!E199/Sheet3!F199</f>
        <v>0.87307391863247308</v>
      </c>
      <c r="H183" s="6">
        <f t="shared" si="10"/>
        <v>0.4442103428271712</v>
      </c>
      <c r="I183" s="6">
        <f>LN(Sheet3!B199)</f>
        <v>14.527730258180199</v>
      </c>
      <c r="J183" s="5">
        <v>5.75</v>
      </c>
      <c r="K183" s="5">
        <v>4.33</v>
      </c>
      <c r="L183" s="8">
        <f t="shared" si="11"/>
        <v>1.42</v>
      </c>
      <c r="M183" s="6">
        <v>77.286695652173904</v>
      </c>
      <c r="O183" s="21">
        <v>16259</v>
      </c>
      <c r="P183" s="21">
        <v>16238.695652173914</v>
      </c>
    </row>
    <row r="184" spans="1:16" x14ac:dyDescent="0.75">
      <c r="A184" s="4">
        <v>45689</v>
      </c>
      <c r="B184" s="7">
        <f t="shared" si="8"/>
        <v>16430.994999999999</v>
      </c>
      <c r="C184" s="5">
        <v>2.47654058</v>
      </c>
      <c r="D184" s="5">
        <v>3.1375600000000001</v>
      </c>
      <c r="E184" s="8">
        <f t="shared" si="9"/>
        <v>-0.66101942000000014</v>
      </c>
      <c r="F184" s="5">
        <f>Sheet3!D200/Sheet3!C200</f>
        <v>0.38757735994674114</v>
      </c>
      <c r="G184" s="5">
        <f>Sheet3!E200/Sheet3!F200</f>
        <v>1.0687792963823926</v>
      </c>
      <c r="H184" s="6">
        <f t="shared" si="10"/>
        <v>0.3626355424909653</v>
      </c>
      <c r="I184" s="6">
        <f>LN(Sheet3!B200)</f>
        <v>14.535068724596552</v>
      </c>
      <c r="J184" s="5">
        <v>5.75</v>
      </c>
      <c r="K184" s="5">
        <v>4.33</v>
      </c>
      <c r="L184" s="8">
        <f t="shared" si="11"/>
        <v>1.42</v>
      </c>
      <c r="M184" s="6">
        <v>73.931150000000002</v>
      </c>
      <c r="O184" s="21">
        <v>16430.994999999999</v>
      </c>
      <c r="P184" s="21">
        <v>16342.35</v>
      </c>
    </row>
    <row r="185" spans="1:16" x14ac:dyDescent="0.75">
      <c r="A185" s="4">
        <v>45717</v>
      </c>
      <c r="B185" s="7">
        <f t="shared" si="8"/>
        <v>16588</v>
      </c>
      <c r="C185" s="5">
        <v>2.4804555499999998</v>
      </c>
      <c r="D185" s="5">
        <v>2.8087800000000001</v>
      </c>
      <c r="E185" s="8">
        <f t="shared" si="9"/>
        <v>-0.32832445000000021</v>
      </c>
      <c r="F185" s="5">
        <f>Sheet3!D201/Sheet3!C201</f>
        <v>0.40326137799967665</v>
      </c>
      <c r="G185" s="5">
        <f>Sheet3!E201/Sheet3!F201</f>
        <v>1.004356939547822</v>
      </c>
      <c r="H185" s="6">
        <f t="shared" si="10"/>
        <v>0.40151201442510226</v>
      </c>
      <c r="I185" s="6">
        <f>LN(Sheet3!B201)</f>
        <v>14.531672333298136</v>
      </c>
      <c r="J185" s="5">
        <v>5.75</v>
      </c>
      <c r="K185" s="5">
        <v>4.33</v>
      </c>
      <c r="L185" s="8">
        <f t="shared" si="11"/>
        <v>1.42</v>
      </c>
      <c r="M185" s="6">
        <v>84.90695238095239</v>
      </c>
      <c r="O185" s="21">
        <v>16588</v>
      </c>
      <c r="P185" s="21">
        <v>16455.380952380954</v>
      </c>
    </row>
    <row r="186" spans="1:16" x14ac:dyDescent="0.75">
      <c r="A186" s="4">
        <v>45748</v>
      </c>
      <c r="B186" s="7">
        <f t="shared" si="8"/>
        <v>16787</v>
      </c>
      <c r="C186" s="5">
        <v>2.5021653399999999</v>
      </c>
      <c r="D186" s="5">
        <v>2.7760199999999999</v>
      </c>
      <c r="E186" s="8">
        <f t="shared" si="9"/>
        <v>-0.27385466000000003</v>
      </c>
      <c r="F186" s="5">
        <f>Sheet3!D202/Sheet3!C202</f>
        <v>0.38931908270538851</v>
      </c>
      <c r="G186" s="5">
        <f>Sheet3!E202/Sheet3!F202</f>
        <v>0.90043043531006506</v>
      </c>
      <c r="H186" s="6">
        <f t="shared" si="10"/>
        <v>0.43236997266904431</v>
      </c>
      <c r="I186" s="6">
        <f>LN(Sheet3!B202)</f>
        <v>14.498644488851705</v>
      </c>
      <c r="J186" s="5">
        <v>5.75</v>
      </c>
      <c r="K186" s="5">
        <v>4.33</v>
      </c>
      <c r="L186" s="8">
        <f t="shared" si="11"/>
        <v>1.42</v>
      </c>
      <c r="M186" s="6">
        <v>107.06404545454544</v>
      </c>
      <c r="O186" s="21">
        <v>16787</v>
      </c>
      <c r="P186" s="21">
        <v>16756.045454545456</v>
      </c>
    </row>
    <row r="187" spans="1:16" x14ac:dyDescent="0.75">
      <c r="A187" s="4">
        <v>45778</v>
      </c>
      <c r="B187" s="7">
        <f t="shared" si="8"/>
        <v>16255</v>
      </c>
      <c r="C187" s="5">
        <v>2.4017677000000002</v>
      </c>
      <c r="D187" s="5">
        <v>2.7658399999999999</v>
      </c>
      <c r="E187" s="8">
        <f t="shared" si="9"/>
        <v>-0.36407229999999968</v>
      </c>
      <c r="F187" s="5">
        <f>Sheet3!D203/Sheet3!C203</f>
        <v>0.41632310776343034</v>
      </c>
      <c r="G187" s="5">
        <f>Sheet3!E203/Sheet3!F203</f>
        <v>1.001701435573314</v>
      </c>
      <c r="H187" s="6">
        <f t="shared" si="10"/>
        <v>0.41561596397748185</v>
      </c>
      <c r="I187" s="6">
        <f>LN(Sheet3!B203)</f>
        <v>14.486113265903196</v>
      </c>
      <c r="J187" s="5">
        <v>5.5</v>
      </c>
      <c r="K187" s="5">
        <v>4.33</v>
      </c>
      <c r="L187" s="8">
        <f t="shared" si="11"/>
        <v>1.17</v>
      </c>
      <c r="M187" s="6">
        <v>86.467818181818174</v>
      </c>
      <c r="O187" s="21">
        <v>16255</v>
      </c>
      <c r="P187" s="21">
        <v>16417.136363636364</v>
      </c>
    </row>
    <row r="188" spans="1:16" x14ac:dyDescent="0.75">
      <c r="A188" s="4">
        <v>45809</v>
      </c>
      <c r="B188" s="7">
        <f t="shared" si="8"/>
        <v>16233</v>
      </c>
      <c r="C188" s="5">
        <v>2.3706689700000001</v>
      </c>
      <c r="D188" s="5">
        <v>2.9108999999999998</v>
      </c>
      <c r="E188" s="8">
        <f t="shared" si="9"/>
        <v>-0.54023102999999972</v>
      </c>
      <c r="F188" s="5">
        <f>Sheet3!D204/Sheet3!C204</f>
        <v>0.4476880960265161</v>
      </c>
      <c r="G188" s="5">
        <f>Sheet3!E204/Sheet3!F204</f>
        <v>1.0560248259452749</v>
      </c>
      <c r="H188" s="6">
        <f t="shared" si="10"/>
        <v>0.42393709411687269</v>
      </c>
      <c r="I188" s="6">
        <f>LN(Sheet3!B204)</f>
        <v>14.490943619854805</v>
      </c>
      <c r="J188" s="5">
        <v>5.5</v>
      </c>
      <c r="K188" s="5">
        <v>4.33</v>
      </c>
      <c r="L188" s="8">
        <f t="shared" si="11"/>
        <v>1.17</v>
      </c>
      <c r="M188" s="6">
        <v>78.105571428571452</v>
      </c>
      <c r="O188" s="21">
        <v>16233</v>
      </c>
      <c r="P188" s="21">
        <v>16291.142857142857</v>
      </c>
    </row>
    <row r="189" spans="1:16" x14ac:dyDescent="0.75">
      <c r="A189" s="4">
        <v>45839</v>
      </c>
      <c r="B189" s="7">
        <f t="shared" si="8"/>
        <v>16387.005000000001</v>
      </c>
      <c r="C189" s="5">
        <v>2.31845181</v>
      </c>
      <c r="D189" s="5">
        <v>3.0544899999999999</v>
      </c>
      <c r="E189" s="8">
        <f t="shared" si="9"/>
        <v>-0.73603818999999993</v>
      </c>
      <c r="F189" s="5">
        <f>Sheet3!D205/Sheet3!C205</f>
        <v>0.4201843022349433</v>
      </c>
      <c r="G189" s="5">
        <f>Sheet3!E205/Sheet3!F205</f>
        <v>0.96763101956705577</v>
      </c>
      <c r="H189" s="6">
        <f t="shared" si="10"/>
        <v>0.4342402152660888</v>
      </c>
      <c r="I189" s="6">
        <f>LN(Sheet3!B205)</f>
        <v>14.510717166945003</v>
      </c>
      <c r="J189" s="5">
        <v>5.5</v>
      </c>
      <c r="K189" s="5">
        <v>4.33</v>
      </c>
      <c r="L189" s="8">
        <f t="shared" si="11"/>
        <v>1.17</v>
      </c>
      <c r="M189" s="6">
        <v>73.85108695652174</v>
      </c>
      <c r="O189" s="21">
        <v>16387.005000000001</v>
      </c>
      <c r="P189" s="21">
        <v>16280.130434782608</v>
      </c>
    </row>
    <row r="190" spans="1:16" x14ac:dyDescent="0.75">
      <c r="A190" s="4">
        <v>45870</v>
      </c>
      <c r="B190" s="7">
        <f t="shared" si="8"/>
        <v>16356</v>
      </c>
      <c r="C190" s="5">
        <v>2.1703795800000001</v>
      </c>
      <c r="D190" s="5">
        <v>3.1118100000000002</v>
      </c>
      <c r="E190" s="8">
        <f t="shared" si="9"/>
        <v>-0.9414304200000001</v>
      </c>
      <c r="F190" s="5">
        <f>Sheet3!D206/Sheet3!C206</f>
        <v>0.37355412364496937</v>
      </c>
      <c r="G190" s="5">
        <f>Sheet3!E206/Sheet3!F206</f>
        <v>1.0240860165749259</v>
      </c>
      <c r="H190" s="6">
        <f t="shared" si="10"/>
        <v>0.36476830812935795</v>
      </c>
      <c r="I190" s="6">
        <f>LN(Sheet3!B206)</f>
        <v>14.521032185268512</v>
      </c>
      <c r="J190" s="5">
        <v>5</v>
      </c>
      <c r="K190" s="5">
        <v>4.33</v>
      </c>
      <c r="L190" s="8">
        <f t="shared" si="11"/>
        <v>0.66999999999999993</v>
      </c>
      <c r="M190" s="6">
        <v>70.2942380952381</v>
      </c>
      <c r="O190" s="21">
        <v>16356</v>
      </c>
      <c r="P190" s="21">
        <v>16299.238095238095</v>
      </c>
    </row>
    <row r="191" spans="1:16" x14ac:dyDescent="0.75">
      <c r="A191" s="4">
        <v>45901</v>
      </c>
      <c r="B191" s="7">
        <f t="shared" si="8"/>
        <v>16680</v>
      </c>
      <c r="C191" s="5">
        <v>2.18594884</v>
      </c>
      <c r="D191" s="5">
        <v>3.0199699999999998</v>
      </c>
      <c r="E191" s="8">
        <f t="shared" si="9"/>
        <v>-0.83402115999999982</v>
      </c>
      <c r="F191" s="5">
        <f>Sheet3!D207/Sheet3!C207</f>
        <v>0.39711414594391342</v>
      </c>
      <c r="G191" s="5">
        <f>Sheet3!E207/Sheet3!F207</f>
        <v>1.0435443125992734</v>
      </c>
      <c r="H191" s="6">
        <f t="shared" si="10"/>
        <v>0.38054363494615429</v>
      </c>
      <c r="I191" s="6">
        <f>LN(Sheet3!B207)</f>
        <v>14.550442384107223</v>
      </c>
      <c r="J191" s="5">
        <v>4.75</v>
      </c>
      <c r="K191" s="5">
        <v>4.22</v>
      </c>
      <c r="L191" s="8">
        <f t="shared" si="11"/>
        <v>0.53000000000000025</v>
      </c>
      <c r="M191" s="6">
        <v>73.98981818181818</v>
      </c>
      <c r="O191" s="21">
        <v>16680</v>
      </c>
      <c r="P191" s="21">
        <v>16514.136363636364</v>
      </c>
    </row>
    <row r="192" spans="1:16" x14ac:dyDescent="0.75">
      <c r="A192" s="4">
        <v>45931</v>
      </c>
      <c r="B192" s="7">
        <f t="shared" si="8"/>
        <v>16640</v>
      </c>
      <c r="C192" s="5">
        <v>2.3621297299999999</v>
      </c>
      <c r="D192" s="5">
        <f>AVERAGE(D191,D193)</f>
        <v>2.8095049999999997</v>
      </c>
      <c r="E192" s="8">
        <f t="shared" si="9"/>
        <v>-0.44737526999999977</v>
      </c>
      <c r="F192" s="5">
        <f>Sheet3!D208/Sheet3!C208</f>
        <v>0.3733381821387684</v>
      </c>
      <c r="G192" s="5">
        <f>Sheet3!E208/Sheet3!F208</f>
        <v>1.0598189226803889</v>
      </c>
      <c r="H192" s="6">
        <f t="shared" si="10"/>
        <v>0.3522660089844013</v>
      </c>
      <c r="I192" s="6">
        <f>LN(Sheet3!B208)</f>
        <v>14.545355748778924</v>
      </c>
      <c r="J192" s="5">
        <v>4.75</v>
      </c>
      <c r="K192" s="5">
        <v>4.09</v>
      </c>
      <c r="L192" s="8">
        <f t="shared" si="11"/>
        <v>0.66000000000000014</v>
      </c>
      <c r="M192" s="6">
        <v>79.221956521739116</v>
      </c>
      <c r="O192" s="21">
        <v>16640</v>
      </c>
      <c r="P192" s="21">
        <v>16583.130434782608</v>
      </c>
    </row>
    <row r="193" spans="1:16" x14ac:dyDescent="0.75">
      <c r="A193" s="4">
        <v>45962</v>
      </c>
      <c r="B193" s="7">
        <f t="shared" si="8"/>
        <v>16644</v>
      </c>
      <c r="C193" s="5">
        <v>2.3580869099999999</v>
      </c>
      <c r="D193" s="5">
        <v>2.59904</v>
      </c>
      <c r="E193" s="8">
        <f t="shared" si="9"/>
        <v>-0.24095309000000009</v>
      </c>
      <c r="F193" s="5">
        <f>Sheet3!D209/Sheet3!C209</f>
        <v>0.34735711576757744</v>
      </c>
      <c r="G193" s="5">
        <f>Sheet3!E209/Sheet3!F209</f>
        <v>1.0032412920813891</v>
      </c>
      <c r="H193" s="6">
        <f t="shared" si="10"/>
        <v>0.34623486743346454</v>
      </c>
      <c r="I193" s="6">
        <f>LN(Sheet3!B209)</f>
        <v>14.543405424127604</v>
      </c>
      <c r="J193" s="5">
        <v>4.75</v>
      </c>
      <c r="K193" s="5">
        <v>3.88</v>
      </c>
      <c r="L193" s="8">
        <f t="shared" si="11"/>
        <v>0.87000000000000011</v>
      </c>
      <c r="M193" s="6">
        <v>75.448200000000014</v>
      </c>
      <c r="O193" s="21">
        <v>16644</v>
      </c>
      <c r="P193" s="21">
        <v>16692.45</v>
      </c>
    </row>
    <row r="194" spans="1:16" x14ac:dyDescent="0.75">
      <c r="A194" s="4">
        <v>45992</v>
      </c>
      <c r="B194" s="7">
        <f t="shared" si="8"/>
        <v>16782</v>
      </c>
      <c r="C194" s="5">
        <v>2.3825344099999999</v>
      </c>
      <c r="D194" s="5">
        <v>2.6464799999999999</v>
      </c>
      <c r="E194" s="8">
        <f t="shared" si="9"/>
        <v>-0.26394559000000006</v>
      </c>
      <c r="F194" s="5">
        <f>Sheet3!D210/Sheet3!C210</f>
        <v>0.37174855311541444</v>
      </c>
      <c r="G194" s="5">
        <f>Sheet3!E210/Sheet3!F210</f>
        <v>1.0347571103616233</v>
      </c>
      <c r="H194" s="6">
        <f t="shared" si="10"/>
        <v>0.35926165608612926</v>
      </c>
      <c r="I194" s="6">
        <f>LN(Sheet3!B210)</f>
        <v>14.585116986653663</v>
      </c>
      <c r="J194" s="5">
        <v>4.75</v>
      </c>
      <c r="K194" s="5">
        <v>3.72</v>
      </c>
      <c r="L194" s="8">
        <f t="shared" si="11"/>
        <v>1.0299999999999998</v>
      </c>
      <c r="M194" s="6">
        <v>71.1198695652174</v>
      </c>
      <c r="O194" s="21">
        <v>16782</v>
      </c>
      <c r="P194" s="21">
        <v>16702.217391304348</v>
      </c>
    </row>
    <row r="195" spans="1:16" x14ac:dyDescent="0.75">
      <c r="A195" s="4">
        <v>46023</v>
      </c>
      <c r="B195" s="7">
        <f t="shared" si="8"/>
        <v>16786</v>
      </c>
      <c r="C195" s="5">
        <v>2.4510267799999998</v>
      </c>
      <c r="D195" s="5">
        <v>2.5120300000000002</v>
      </c>
      <c r="E195" s="8">
        <f t="shared" si="9"/>
        <v>-6.1003220000000358E-2</v>
      </c>
      <c r="F195" s="5">
        <f>Sheet3!D211/Sheet3!C211</f>
        <v>0.39399006824013183</v>
      </c>
      <c r="G195" s="5">
        <f>Sheet3!E211/Sheet3!F211</f>
        <v>0.92702447247400843</v>
      </c>
      <c r="H195" s="6">
        <f t="shared" si="10"/>
        <v>0.42500503486026187</v>
      </c>
      <c r="I195" s="6">
        <f>LN(Sheet3!B211)</f>
        <v>14.581624232764844</v>
      </c>
      <c r="J195" s="5">
        <v>4.75</v>
      </c>
      <c r="K195" s="5">
        <v>3.64</v>
      </c>
      <c r="L195" s="8">
        <f t="shared" si="11"/>
        <v>1.1099999999999999</v>
      </c>
      <c r="M195" s="6">
        <v>72.201045454545451</v>
      </c>
      <c r="O195" s="21">
        <v>16786</v>
      </c>
      <c r="P195" s="21">
        <v>16814.863636363636</v>
      </c>
    </row>
    <row r="196" spans="1:16" x14ac:dyDescent="0.75">
      <c r="A196" s="4">
        <v>46054</v>
      </c>
      <c r="B196" s="7">
        <f t="shared" ref="B196:B203" si="12">O196</f>
        <v>16758</v>
      </c>
      <c r="C196" s="5">
        <v>2.6338147799999998</v>
      </c>
      <c r="D196" s="5">
        <v>2.4724599999999999</v>
      </c>
      <c r="E196" s="8">
        <f t="shared" ref="E196:E203" si="13">C196-D196</f>
        <v>0.16135477999999992</v>
      </c>
      <c r="F196" s="5">
        <f>Sheet3!D212/Sheet3!C212</f>
        <v>0.42134055259190589</v>
      </c>
      <c r="G196" s="5">
        <f>Sheet3!E212/Sheet3!F212</f>
        <v>0.94223827383482428</v>
      </c>
      <c r="H196" s="6">
        <f t="shared" ref="H196:H197" si="14">F196/G196</f>
        <v>0.44716985532447973</v>
      </c>
      <c r="I196" s="6">
        <f>LN(Sheet3!B212)</f>
        <v>14.554431515348996</v>
      </c>
      <c r="J196" s="5">
        <v>4.75</v>
      </c>
      <c r="K196" s="5">
        <v>3.64</v>
      </c>
      <c r="L196" s="8">
        <f t="shared" ref="L196:L203" si="15">J196-K196</f>
        <v>1.1099999999999999</v>
      </c>
      <c r="M196" s="6">
        <v>80.089349999999996</v>
      </c>
      <c r="O196" s="21">
        <v>16758</v>
      </c>
      <c r="P196" s="21">
        <v>16815.349999999999</v>
      </c>
    </row>
    <row r="197" spans="1:16" x14ac:dyDescent="0.75">
      <c r="A197" s="4">
        <v>46082</v>
      </c>
      <c r="B197" s="7">
        <f t="shared" si="12"/>
        <v>16993</v>
      </c>
      <c r="C197" s="5">
        <v>2.5240158199999998</v>
      </c>
      <c r="D197" s="5">
        <v>2.6021700000000001</v>
      </c>
      <c r="E197" s="8">
        <f t="shared" si="13"/>
        <v>-7.8154180000000295E-2</v>
      </c>
      <c r="F197" s="5">
        <f>Sheet3!D213/Sheet3!C213</f>
        <v>0.41799463824510774</v>
      </c>
      <c r="G197" s="5">
        <f>Sheet3!E213/Sheet3!F213</f>
        <v>1.1021862589539637</v>
      </c>
      <c r="H197" s="6">
        <f t="shared" si="14"/>
        <v>0.37924138034691884</v>
      </c>
      <c r="I197" s="6">
        <f>LN(Sheet3!B213)</f>
        <v>14.558504648664705</v>
      </c>
      <c r="J197" s="5">
        <v>4.75</v>
      </c>
      <c r="K197" s="5">
        <v>3.64</v>
      </c>
      <c r="L197" s="8">
        <f t="shared" si="15"/>
        <v>1.1099999999999999</v>
      </c>
      <c r="M197" s="6">
        <v>93.77709090909093</v>
      </c>
      <c r="O197" s="21">
        <v>16993</v>
      </c>
      <c r="P197" s="21">
        <v>16935.045454545456</v>
      </c>
    </row>
    <row r="198" spans="1:16" x14ac:dyDescent="0.75">
      <c r="A198" s="4">
        <v>46113</v>
      </c>
      <c r="B198" s="7">
        <f t="shared" si="12"/>
        <v>17324</v>
      </c>
      <c r="C198" s="5">
        <v>2.4410853399999999</v>
      </c>
      <c r="D198" s="5">
        <v>2.8</v>
      </c>
      <c r="E198" s="8">
        <f t="shared" si="13"/>
        <v>-0.35891465999999994</v>
      </c>
      <c r="F198" s="5">
        <f>Sheet3!D214/Sheet3!C214</f>
        <v>0.47080141450780549</v>
      </c>
      <c r="G198" s="5">
        <f>Sheet3!E214/Sheet3!F214</f>
        <v>1.0469816529078959</v>
      </c>
      <c r="H198" s="6">
        <f>F198/G198</f>
        <v>0.4496749424406794</v>
      </c>
      <c r="I198" s="6">
        <f>LN(Sheet3!B214)</f>
        <v>14.53456574198389</v>
      </c>
      <c r="J198" s="5">
        <v>4.75</v>
      </c>
      <c r="K198" s="5">
        <v>3.64</v>
      </c>
      <c r="L198" s="8">
        <f t="shared" si="15"/>
        <v>1.1099999999999999</v>
      </c>
      <c r="M198" s="6">
        <v>88.659409090909108</v>
      </c>
      <c r="O198" s="21">
        <v>17324</v>
      </c>
      <c r="P198" s="21">
        <v>17138.590909090908</v>
      </c>
    </row>
    <row r="199" spans="1:16" x14ac:dyDescent="0.75">
      <c r="A199" s="4">
        <v>46143</v>
      </c>
      <c r="B199" s="7">
        <f t="shared" si="12"/>
        <v>17789</v>
      </c>
      <c r="C199" s="19">
        <v>2.59</v>
      </c>
      <c r="D199" s="19">
        <v>2.9</v>
      </c>
      <c r="E199" s="8">
        <f t="shared" si="13"/>
        <v>-0.31000000000000005</v>
      </c>
      <c r="F199" s="5">
        <f>Sheet3!D215/Sheet3!C215</f>
        <v>0.42408485687963365</v>
      </c>
      <c r="G199" s="5">
        <f>Sheet3!E215/Sheet3!F215</f>
        <v>0.90346575932369</v>
      </c>
      <c r="H199" s="6">
        <f>F199/G199</f>
        <v>0.46939781890250282</v>
      </c>
      <c r="I199" s="6">
        <f>LN(Sheet3!B215)</f>
        <v>14.536409496568682</v>
      </c>
      <c r="J199" s="5">
        <v>5.25</v>
      </c>
      <c r="K199" s="5">
        <v>3.63</v>
      </c>
      <c r="L199" s="8">
        <f t="shared" si="15"/>
        <v>1.62</v>
      </c>
      <c r="M199" s="6">
        <v>88.392947368421048</v>
      </c>
      <c r="O199" s="21">
        <v>17789</v>
      </c>
      <c r="P199" s="21">
        <v>17542.315789473683</v>
      </c>
    </row>
    <row r="200" spans="1:16" x14ac:dyDescent="0.75">
      <c r="A200" s="4">
        <v>46174</v>
      </c>
      <c r="B200" s="7">
        <f t="shared" si="12"/>
        <v>17962</v>
      </c>
      <c r="C200" s="22">
        <v>2.76</v>
      </c>
      <c r="D200" s="22">
        <v>2.6</v>
      </c>
      <c r="E200" s="8">
        <f t="shared" si="13"/>
        <v>0.1599999999999997</v>
      </c>
      <c r="F200" s="5">
        <f>Sheet3!D216/Sheet3!C216</f>
        <v>0.45040660525449988</v>
      </c>
      <c r="G200" s="5">
        <f>Sheet3!E216/Sheet3!F216</f>
        <v>0.96480948232521935</v>
      </c>
      <c r="H200" s="6">
        <f t="shared" ref="H200:H203" si="16">F200/G200</f>
        <v>0.46683476220507975</v>
      </c>
      <c r="I200" s="6">
        <f>LN(Sheet3!B216)</f>
        <v>14.4581405582506</v>
      </c>
      <c r="J200" s="5">
        <v>5.75</v>
      </c>
      <c r="K200" s="5">
        <v>3.63</v>
      </c>
      <c r="L200" s="8">
        <f t="shared" si="15"/>
        <v>2.12</v>
      </c>
      <c r="M200" s="6">
        <v>89.87</v>
      </c>
      <c r="O200" s="21">
        <v>17962</v>
      </c>
      <c r="P200" s="21">
        <v>17905.5</v>
      </c>
    </row>
    <row r="201" spans="1:16" x14ac:dyDescent="0.75">
      <c r="A201" s="4">
        <v>46204</v>
      </c>
      <c r="B201" s="7">
        <f t="shared" si="12"/>
        <v>18058</v>
      </c>
      <c r="C201" s="22">
        <v>2.76</v>
      </c>
      <c r="D201" s="22">
        <v>2.5</v>
      </c>
      <c r="E201" s="8">
        <f t="shared" si="13"/>
        <v>0.25999999999999979</v>
      </c>
      <c r="F201" s="5">
        <f>Sheet3!D217/Sheet3!C217</f>
        <v>0.47315045745650575</v>
      </c>
      <c r="G201" s="5">
        <f>Sheet3!E217/Sheet3!F217</f>
        <v>0.99519963830678149</v>
      </c>
      <c r="H201" s="6">
        <f t="shared" si="16"/>
        <v>0.47543270640805013</v>
      </c>
      <c r="I201" s="6">
        <f>LN(Sheet3!B217)</f>
        <v>14.44803436908825</v>
      </c>
      <c r="J201" s="5">
        <v>5.75</v>
      </c>
      <c r="K201">
        <v>3.63</v>
      </c>
      <c r="L201" s="8">
        <f t="shared" si="15"/>
        <v>2.12</v>
      </c>
      <c r="M201" s="1">
        <v>93.36</v>
      </c>
      <c r="O201" s="24">
        <v>18058</v>
      </c>
      <c r="P201" s="24">
        <v>18014.478260869564</v>
      </c>
    </row>
    <row r="202" spans="1:16" x14ac:dyDescent="0.75">
      <c r="A202" s="4">
        <v>46235</v>
      </c>
      <c r="B202" s="7">
        <f t="shared" si="12"/>
        <v>17746</v>
      </c>
      <c r="C202" s="22">
        <v>2.92</v>
      </c>
      <c r="D202" s="22">
        <v>2.4</v>
      </c>
      <c r="E202" s="8">
        <f t="shared" si="13"/>
        <v>0.52</v>
      </c>
      <c r="F202" s="12">
        <f>Sheet3!D218/Sheet3!C218</f>
        <v>0.30374423783793852</v>
      </c>
      <c r="G202" s="12">
        <f>Sheet3!E218/Sheet3!F218</f>
        <v>0.90384588523585718</v>
      </c>
      <c r="H202" s="14">
        <f t="shared" si="16"/>
        <v>0.33605755450076197</v>
      </c>
      <c r="I202" s="14">
        <f>LN(Sheet3!B218)</f>
        <v>14.439324995182591</v>
      </c>
      <c r="J202" s="5">
        <v>5.75</v>
      </c>
      <c r="K202">
        <v>3.63</v>
      </c>
      <c r="L202" s="8">
        <f t="shared" si="15"/>
        <v>2.12</v>
      </c>
      <c r="M202" s="1">
        <v>84.57</v>
      </c>
      <c r="O202" s="24">
        <v>17746</v>
      </c>
      <c r="P202" s="24">
        <v>17832.894736842107</v>
      </c>
    </row>
    <row r="203" spans="1:16" x14ac:dyDescent="0.75">
      <c r="A203" s="4">
        <v>46266</v>
      </c>
      <c r="B203" s="7">
        <f t="shared" si="12"/>
        <v>17877</v>
      </c>
      <c r="C203" s="12">
        <v>3.1</v>
      </c>
      <c r="D203" s="12">
        <v>2.5</v>
      </c>
      <c r="E203" s="8">
        <f t="shared" si="13"/>
        <v>0.60000000000000009</v>
      </c>
      <c r="F203" s="12">
        <f>Sheet3!D219/Sheet3!C219</f>
        <v>0.51840951390246481</v>
      </c>
      <c r="G203" s="12">
        <f>Sheet3!E219/Sheet3!F219</f>
        <v>0.98486160545836199</v>
      </c>
      <c r="H203" s="14">
        <f t="shared" si="16"/>
        <v>0.52637803223245072</v>
      </c>
      <c r="I203" s="14">
        <f>LN(Sheet3!B219)</f>
        <v>14.447930308444844</v>
      </c>
      <c r="J203" s="5">
        <v>5.75</v>
      </c>
      <c r="K203">
        <f>K202+0.25</f>
        <v>3.88</v>
      </c>
      <c r="L203" s="8">
        <f t="shared" si="15"/>
        <v>1.87</v>
      </c>
      <c r="M203" s="1">
        <v>91.19</v>
      </c>
      <c r="O203" s="24">
        <v>17877</v>
      </c>
      <c r="P203" s="24">
        <v>17749</v>
      </c>
    </row>
  </sheetData>
  <mergeCells count="1">
    <mergeCell ref="C1:D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994A-7F05-44A4-BABA-58A6A22D0008}">
  <dimension ref="A1:Q219"/>
  <sheetViews>
    <sheetView workbookViewId="0">
      <pane xSplit="1" ySplit="6" topLeftCell="B215" activePane="bottomRight" state="frozen"/>
      <selection pane="topRight" activeCell="B1" sqref="B1"/>
      <selection pane="bottomLeft" activeCell="A7" sqref="A7"/>
      <selection pane="bottomRight" activeCell="G220" sqref="G220"/>
    </sheetView>
  </sheetViews>
  <sheetFormatPr defaultRowHeight="14.75" x14ac:dyDescent="0.75"/>
  <cols>
    <col min="1" max="1" width="12.58984375" customWidth="1"/>
    <col min="2" max="2" width="12.08984375" bestFit="1" customWidth="1"/>
    <col min="3" max="6" width="9.7265625" bestFit="1" customWidth="1"/>
    <col min="7" max="7" width="10.04296875" bestFit="1" customWidth="1"/>
    <col min="8" max="8" width="9" bestFit="1" customWidth="1"/>
    <col min="15" max="15" width="10.08984375" bestFit="1" customWidth="1"/>
  </cols>
  <sheetData>
    <row r="1" spans="1:15" s="10" customFormat="1" ht="55" x14ac:dyDescent="0.75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J1" s="10" t="str">
        <f>B1</f>
        <v>BM (M2): Net Foreign Asset</v>
      </c>
      <c r="K1" s="10" t="str">
        <f>C1</f>
        <v>Exports: fob: Volume</v>
      </c>
      <c r="L1" s="10" t="str">
        <f t="shared" ref="L1:N1" si="0">D1</f>
        <v>Export: fob</v>
      </c>
      <c r="M1" s="10" t="str">
        <f t="shared" si="0"/>
        <v>Import: cif: Volume</v>
      </c>
      <c r="N1" s="10" t="str">
        <f t="shared" si="0"/>
        <v>Import: cif</v>
      </c>
      <c r="O1" s="17" t="s">
        <v>41</v>
      </c>
    </row>
    <row r="2" spans="1:15" x14ac:dyDescent="0.75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</row>
    <row r="3" spans="1:15" x14ac:dyDescent="0.75">
      <c r="A3" t="s">
        <v>22</v>
      </c>
      <c r="B3" t="s">
        <v>23</v>
      </c>
      <c r="C3" t="s">
        <v>24</v>
      </c>
      <c r="D3" t="s">
        <v>25</v>
      </c>
      <c r="E3" t="s">
        <v>24</v>
      </c>
      <c r="F3" t="s">
        <v>25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25</v>
      </c>
    </row>
    <row r="4" spans="1:15" x14ac:dyDescent="0.75">
      <c r="A4" t="s">
        <v>26</v>
      </c>
      <c r="B4" t="s">
        <v>27</v>
      </c>
      <c r="C4" t="s">
        <v>28</v>
      </c>
      <c r="D4" t="s">
        <v>28</v>
      </c>
      <c r="E4" t="s">
        <v>28</v>
      </c>
      <c r="F4" t="s">
        <v>28</v>
      </c>
    </row>
    <row r="5" spans="1:15" x14ac:dyDescent="0.7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 spans="1:15" x14ac:dyDescent="0.75">
      <c r="A6" t="s">
        <v>35</v>
      </c>
      <c r="B6" s="9">
        <v>46113</v>
      </c>
      <c r="C6" s="9">
        <v>46082</v>
      </c>
      <c r="D6" s="9">
        <v>46082</v>
      </c>
      <c r="E6" s="9">
        <v>46082</v>
      </c>
      <c r="F6" s="9">
        <v>46082</v>
      </c>
    </row>
    <row r="7" spans="1:15" x14ac:dyDescent="0.75">
      <c r="A7" s="9">
        <v>39814</v>
      </c>
      <c r="B7" s="5">
        <v>603620.23</v>
      </c>
      <c r="C7" s="5">
        <v>21833.053449999999</v>
      </c>
      <c r="D7" s="5">
        <v>7280.1096459999999</v>
      </c>
      <c r="E7" s="5">
        <v>6408.5336129999996</v>
      </c>
      <c r="F7" s="5">
        <v>6600.5692490000001</v>
      </c>
    </row>
    <row r="8" spans="1:15" x14ac:dyDescent="0.75">
      <c r="A8" s="9">
        <v>39845</v>
      </c>
      <c r="B8" s="5">
        <v>644002.67000000004</v>
      </c>
      <c r="C8" s="5">
        <v>17010.589070000002</v>
      </c>
      <c r="D8" s="5">
        <v>7134.3192730000001</v>
      </c>
      <c r="E8" s="5">
        <v>5353.8120829999998</v>
      </c>
      <c r="F8" s="5">
        <v>5939.0433270000003</v>
      </c>
    </row>
    <row r="9" spans="1:15" x14ac:dyDescent="0.75">
      <c r="A9" s="9">
        <v>39873</v>
      </c>
      <c r="B9" s="5">
        <v>691464.7</v>
      </c>
      <c r="C9" s="5">
        <v>26431.788779999999</v>
      </c>
      <c r="D9" s="5">
        <v>8614.7258710000006</v>
      </c>
      <c r="E9" s="5">
        <v>5977.6943039999996</v>
      </c>
      <c r="F9" s="5">
        <v>6554.1291629999996</v>
      </c>
    </row>
    <row r="10" spans="1:15" x14ac:dyDescent="0.75">
      <c r="A10" s="9">
        <v>39904</v>
      </c>
      <c r="B10" s="5">
        <v>662715.31000000006</v>
      </c>
      <c r="C10" s="5">
        <v>28870.407039999998</v>
      </c>
      <c r="D10" s="5">
        <v>8453.9570569999996</v>
      </c>
      <c r="E10" s="5">
        <v>6805.8893269999999</v>
      </c>
      <c r="F10" s="5">
        <v>6706.7619990000003</v>
      </c>
    </row>
    <row r="11" spans="1:15" x14ac:dyDescent="0.75">
      <c r="A11" s="9">
        <v>39934</v>
      </c>
      <c r="B11" s="5">
        <v>666394.16</v>
      </c>
      <c r="C11" s="5">
        <v>28242.52879</v>
      </c>
      <c r="D11" s="5">
        <v>9208.7740589999994</v>
      </c>
      <c r="E11" s="5">
        <v>7567.7519609999999</v>
      </c>
      <c r="F11" s="5">
        <v>7641.2865519999996</v>
      </c>
    </row>
    <row r="12" spans="1:15" x14ac:dyDescent="0.75">
      <c r="A12" s="9">
        <v>39965</v>
      </c>
      <c r="B12" s="5">
        <v>655439.78</v>
      </c>
      <c r="C12" s="5">
        <v>25855.871810000001</v>
      </c>
      <c r="D12" s="5">
        <v>9381.4790709999997</v>
      </c>
      <c r="E12" s="5">
        <v>8208.6258340000004</v>
      </c>
      <c r="F12" s="5">
        <v>7935.474878</v>
      </c>
    </row>
    <row r="13" spans="1:15" x14ac:dyDescent="0.75">
      <c r="A13" s="9">
        <v>39995</v>
      </c>
      <c r="B13" s="5">
        <v>644557.88</v>
      </c>
      <c r="C13" s="5">
        <v>35327.713660000001</v>
      </c>
      <c r="D13" s="5">
        <v>9684.1458789999997</v>
      </c>
      <c r="E13" s="5">
        <v>7865.2710310000002</v>
      </c>
      <c r="F13" s="5">
        <v>8683.3419319999994</v>
      </c>
    </row>
    <row r="14" spans="1:15" x14ac:dyDescent="0.75">
      <c r="A14" s="9">
        <v>40026</v>
      </c>
      <c r="B14" s="5">
        <v>650342.37</v>
      </c>
      <c r="C14" s="5">
        <v>37719.82804</v>
      </c>
      <c r="D14" s="5">
        <v>10543.777889999999</v>
      </c>
      <c r="E14" s="5">
        <v>8493.6002110000009</v>
      </c>
      <c r="F14" s="5">
        <v>9707.3026860000009</v>
      </c>
    </row>
    <row r="15" spans="1:15" x14ac:dyDescent="0.75">
      <c r="A15" s="9">
        <v>40057</v>
      </c>
      <c r="B15" s="5">
        <v>658645.31000000006</v>
      </c>
      <c r="C15" s="5">
        <v>35100.515919999998</v>
      </c>
      <c r="D15" s="5">
        <v>9842.5716819999998</v>
      </c>
      <c r="E15" s="5">
        <v>8855.6127030000007</v>
      </c>
      <c r="F15" s="5">
        <v>8516.6032759999998</v>
      </c>
    </row>
    <row r="16" spans="1:15" x14ac:dyDescent="0.75">
      <c r="A16" s="9">
        <v>40087</v>
      </c>
      <c r="B16" s="5">
        <v>663980.84</v>
      </c>
      <c r="C16" s="5">
        <v>42329.715020000003</v>
      </c>
      <c r="D16" s="5">
        <v>12242.67253</v>
      </c>
      <c r="E16" s="5">
        <v>9229.6010000000006</v>
      </c>
      <c r="F16" s="5">
        <v>9430.1265480000002</v>
      </c>
    </row>
    <row r="17" spans="1:6" x14ac:dyDescent="0.75">
      <c r="A17" s="9">
        <v>40118</v>
      </c>
      <c r="B17" s="5">
        <v>692831.7</v>
      </c>
      <c r="C17" s="5">
        <v>37472.629540000002</v>
      </c>
      <c r="D17" s="5">
        <v>10775.36167</v>
      </c>
      <c r="E17" s="5">
        <v>7715.4245469999996</v>
      </c>
      <c r="F17" s="5">
        <v>8814.6574220000002</v>
      </c>
    </row>
    <row r="18" spans="1:6" x14ac:dyDescent="0.75">
      <c r="A18" s="9">
        <v>40148</v>
      </c>
      <c r="B18" s="5">
        <v>679447.68</v>
      </c>
      <c r="C18" s="5">
        <v>42804.459699999999</v>
      </c>
      <c r="D18" s="5">
        <v>13348.131450000001</v>
      </c>
      <c r="E18" s="5">
        <v>8872.5892810000005</v>
      </c>
      <c r="F18" s="5">
        <v>10299.94795</v>
      </c>
    </row>
    <row r="19" spans="1:6" x14ac:dyDescent="0.75">
      <c r="A19" s="9">
        <v>40179</v>
      </c>
      <c r="B19" s="5">
        <v>714944</v>
      </c>
      <c r="C19" s="5">
        <v>43728.031419999999</v>
      </c>
      <c r="D19" s="5">
        <v>11595.867120000001</v>
      </c>
      <c r="E19" s="5">
        <v>8244.3144900000007</v>
      </c>
      <c r="F19" s="5">
        <v>9490.4589379999998</v>
      </c>
    </row>
    <row r="20" spans="1:6" x14ac:dyDescent="0.75">
      <c r="A20" s="9">
        <v>40210</v>
      </c>
      <c r="B20" s="5">
        <v>716295.83</v>
      </c>
      <c r="C20" s="5">
        <v>34365.506560000002</v>
      </c>
      <c r="D20" s="5">
        <v>11166.450440000001</v>
      </c>
      <c r="E20" s="5">
        <v>8087.8922890000003</v>
      </c>
      <c r="F20" s="5">
        <v>9498.1394070000006</v>
      </c>
    </row>
    <row r="21" spans="1:6" x14ac:dyDescent="0.75">
      <c r="A21" s="9">
        <v>40238</v>
      </c>
      <c r="B21" s="5">
        <v>726192.37</v>
      </c>
      <c r="C21" s="5">
        <v>42805.393250000001</v>
      </c>
      <c r="D21" s="5">
        <v>12774.365879999999</v>
      </c>
      <c r="E21" s="5">
        <v>8994.2682569999997</v>
      </c>
      <c r="F21" s="5">
        <v>10972.6</v>
      </c>
    </row>
    <row r="22" spans="1:6" x14ac:dyDescent="0.75">
      <c r="A22" s="9">
        <v>40269</v>
      </c>
      <c r="B22" s="5">
        <v>774153.41</v>
      </c>
      <c r="C22" s="5">
        <v>37246.261409999999</v>
      </c>
      <c r="D22" s="5">
        <v>12035.247590000001</v>
      </c>
      <c r="E22" s="5">
        <v>9322.4672159999991</v>
      </c>
      <c r="F22" s="5">
        <v>11235.8</v>
      </c>
    </row>
    <row r="23" spans="1:6" x14ac:dyDescent="0.75">
      <c r="A23" s="9">
        <v>40299</v>
      </c>
      <c r="B23" s="5">
        <v>734043.26</v>
      </c>
      <c r="C23" s="5">
        <v>39517.382369999999</v>
      </c>
      <c r="D23" s="5">
        <v>12656.63747</v>
      </c>
      <c r="E23" s="5">
        <v>8562.1523959999995</v>
      </c>
      <c r="F23" s="5">
        <v>9980.3500879999992</v>
      </c>
    </row>
    <row r="24" spans="1:6" x14ac:dyDescent="0.75">
      <c r="A24" s="9">
        <v>40330</v>
      </c>
      <c r="B24" s="5">
        <v>756587.91</v>
      </c>
      <c r="C24" s="5">
        <v>39882.450380000002</v>
      </c>
      <c r="D24" s="5">
        <v>12330.1145</v>
      </c>
      <c r="E24" s="5">
        <v>10011.964480000001</v>
      </c>
      <c r="F24" s="5">
        <v>11760.00107</v>
      </c>
    </row>
    <row r="25" spans="1:6" x14ac:dyDescent="0.75">
      <c r="A25" s="9">
        <v>40360</v>
      </c>
      <c r="B25" s="5">
        <v>761898.26</v>
      </c>
      <c r="C25" s="5">
        <v>36176.018309999999</v>
      </c>
      <c r="D25" s="5">
        <v>12486.97291</v>
      </c>
      <c r="E25" s="5">
        <v>9877.1295719999998</v>
      </c>
      <c r="F25" s="5">
        <v>12625.9</v>
      </c>
    </row>
    <row r="26" spans="1:6" x14ac:dyDescent="0.75">
      <c r="A26" s="9">
        <v>40391</v>
      </c>
      <c r="B26" s="5">
        <v>797382.59</v>
      </c>
      <c r="C26" s="5">
        <v>39589.239889999997</v>
      </c>
      <c r="D26" s="5">
        <v>13726.52197</v>
      </c>
      <c r="E26" s="5">
        <v>9643.6833060000008</v>
      </c>
      <c r="F26" s="5">
        <v>12171.6</v>
      </c>
    </row>
    <row r="27" spans="1:6" x14ac:dyDescent="0.75">
      <c r="A27" s="9">
        <v>40422</v>
      </c>
      <c r="B27" s="5">
        <v>824480.86</v>
      </c>
      <c r="C27" s="5">
        <v>33193.394350000002</v>
      </c>
      <c r="D27" s="5">
        <v>12181.628290000001</v>
      </c>
      <c r="E27" s="5">
        <v>7218.7106119999999</v>
      </c>
      <c r="F27" s="5">
        <v>9654.1274689999991</v>
      </c>
    </row>
    <row r="28" spans="1:6" x14ac:dyDescent="0.75">
      <c r="A28" s="9">
        <v>40452</v>
      </c>
      <c r="B28" s="5">
        <v>855405.87</v>
      </c>
      <c r="C28" s="5">
        <v>37582.744070000001</v>
      </c>
      <c r="D28" s="5">
        <v>14399.64486</v>
      </c>
      <c r="E28" s="5">
        <v>9386.3867030000001</v>
      </c>
      <c r="F28" s="5">
        <v>12120.016600000001</v>
      </c>
    </row>
    <row r="29" spans="1:6" x14ac:dyDescent="0.75">
      <c r="A29" s="9">
        <v>40483</v>
      </c>
      <c r="B29" s="5">
        <v>847094.26</v>
      </c>
      <c r="C29" s="5">
        <v>47750.908309999999</v>
      </c>
      <c r="D29" s="5">
        <v>15633.275869999999</v>
      </c>
      <c r="E29" s="5">
        <v>10544.65353</v>
      </c>
      <c r="F29" s="5">
        <v>13007.6</v>
      </c>
    </row>
    <row r="30" spans="1:6" x14ac:dyDescent="0.75">
      <c r="A30" s="9">
        <v>40513</v>
      </c>
      <c r="B30" s="5">
        <v>865121.42</v>
      </c>
      <c r="C30" s="5">
        <v>47009.467279999997</v>
      </c>
      <c r="D30" s="5">
        <v>16829.888770000001</v>
      </c>
      <c r="E30" s="5">
        <v>10807.37947</v>
      </c>
      <c r="F30" s="5">
        <v>13146.7</v>
      </c>
    </row>
    <row r="31" spans="1:6" x14ac:dyDescent="0.75">
      <c r="A31" s="9">
        <v>40544</v>
      </c>
      <c r="B31" s="5">
        <v>856853.52</v>
      </c>
      <c r="C31" s="5">
        <v>43079.006759999997</v>
      </c>
      <c r="D31" s="5">
        <v>14606.249449999999</v>
      </c>
      <c r="E31" s="5">
        <v>9742.0846220000003</v>
      </c>
      <c r="F31" s="5">
        <v>12558.69426</v>
      </c>
    </row>
    <row r="32" spans="1:6" x14ac:dyDescent="0.75">
      <c r="A32" s="9">
        <v>40575</v>
      </c>
      <c r="B32" s="5">
        <v>885004.7</v>
      </c>
      <c r="C32" s="5">
        <v>39675.423840000003</v>
      </c>
      <c r="D32" s="5">
        <v>14415.278399999999</v>
      </c>
      <c r="E32" s="5">
        <v>9446.5132229999999</v>
      </c>
      <c r="F32" s="5">
        <v>11749.862450000001</v>
      </c>
    </row>
    <row r="33" spans="1:6" x14ac:dyDescent="0.75">
      <c r="A33" s="9">
        <v>40603</v>
      </c>
      <c r="B33" s="5">
        <v>911389.38</v>
      </c>
      <c r="C33" s="5">
        <v>43300.354500000001</v>
      </c>
      <c r="D33" s="5">
        <v>16365.95347</v>
      </c>
      <c r="E33" s="5">
        <v>10336.71221</v>
      </c>
      <c r="F33" s="5">
        <v>14486.23821</v>
      </c>
    </row>
    <row r="34" spans="1:6" x14ac:dyDescent="0.75">
      <c r="A34" s="9">
        <v>40634</v>
      </c>
      <c r="B34" s="5">
        <v>957262.44</v>
      </c>
      <c r="C34" s="5">
        <v>42104.466229999998</v>
      </c>
      <c r="D34" s="5">
        <v>16554.24077</v>
      </c>
      <c r="E34" s="5">
        <v>11197.018169999999</v>
      </c>
      <c r="F34" s="5">
        <v>14888.23048</v>
      </c>
    </row>
    <row r="35" spans="1:6" x14ac:dyDescent="0.75">
      <c r="A35" s="9">
        <v>40664</v>
      </c>
      <c r="B35" s="5">
        <v>971293.7</v>
      </c>
      <c r="C35" s="5">
        <v>52298.466220000002</v>
      </c>
      <c r="D35" s="5">
        <v>18287.435829999999</v>
      </c>
      <c r="E35" s="5">
        <v>11008.9413</v>
      </c>
      <c r="F35" s="5">
        <v>14825.868909999999</v>
      </c>
    </row>
    <row r="36" spans="1:6" x14ac:dyDescent="0.75">
      <c r="A36" s="9">
        <v>40695</v>
      </c>
      <c r="B36" s="5">
        <v>970573.07</v>
      </c>
      <c r="C36" s="5">
        <v>50341.916420000001</v>
      </c>
      <c r="D36" s="5">
        <v>18386.8554</v>
      </c>
      <c r="E36" s="5">
        <v>11160.604729999999</v>
      </c>
      <c r="F36" s="5">
        <v>15072.053389999999</v>
      </c>
    </row>
    <row r="37" spans="1:6" x14ac:dyDescent="0.75">
      <c r="A37" s="9">
        <v>40725</v>
      </c>
      <c r="B37" s="5">
        <v>972975.54</v>
      </c>
      <c r="C37" s="5">
        <v>50468.063649999996</v>
      </c>
      <c r="D37" s="5">
        <v>17418.472570000002</v>
      </c>
      <c r="E37" s="5">
        <v>11766.305270000001</v>
      </c>
      <c r="F37" s="5">
        <v>16207.27677</v>
      </c>
    </row>
    <row r="38" spans="1:6" x14ac:dyDescent="0.75">
      <c r="A38" s="9">
        <v>40756</v>
      </c>
      <c r="B38" s="5">
        <v>977556.33</v>
      </c>
      <c r="C38" s="5">
        <v>48729.818149999999</v>
      </c>
      <c r="D38" s="5">
        <v>18647.825150000001</v>
      </c>
      <c r="E38" s="5">
        <v>11021.76628</v>
      </c>
      <c r="F38" s="5">
        <v>15075.369350000001</v>
      </c>
    </row>
    <row r="39" spans="1:6" x14ac:dyDescent="0.75">
      <c r="A39" s="9">
        <v>40787</v>
      </c>
      <c r="B39" s="5">
        <v>918901.51</v>
      </c>
      <c r="C39" s="5">
        <v>49677.98201</v>
      </c>
      <c r="D39" s="5">
        <v>17543.408240000001</v>
      </c>
      <c r="E39" s="5">
        <v>10048.39424</v>
      </c>
      <c r="F39" s="5">
        <v>15169.115540000001</v>
      </c>
    </row>
    <row r="40" spans="1:6" x14ac:dyDescent="0.75">
      <c r="A40" s="9">
        <v>40817</v>
      </c>
      <c r="B40" s="5">
        <v>913004.07</v>
      </c>
      <c r="C40" s="5">
        <v>52558.546329999997</v>
      </c>
      <c r="D40" s="5">
        <v>16957.743299999998</v>
      </c>
      <c r="E40" s="5">
        <v>10411.63198</v>
      </c>
      <c r="F40" s="5">
        <v>15533.4</v>
      </c>
    </row>
    <row r="41" spans="1:6" x14ac:dyDescent="0.75">
      <c r="A41" s="9">
        <v>40848</v>
      </c>
      <c r="B41" s="5">
        <v>939668.14</v>
      </c>
      <c r="C41" s="5">
        <v>55859.996899999998</v>
      </c>
      <c r="D41" s="5">
        <v>17235.46327</v>
      </c>
      <c r="E41" s="5">
        <v>10705.349200000001</v>
      </c>
      <c r="F41" s="5">
        <v>15393.89668</v>
      </c>
    </row>
    <row r="42" spans="1:6" x14ac:dyDescent="0.75">
      <c r="A42" s="9">
        <v>40878</v>
      </c>
      <c r="B42" s="5">
        <v>912174.17</v>
      </c>
      <c r="C42" s="5">
        <v>54125.738299999997</v>
      </c>
      <c r="D42" s="5">
        <v>17077.694230000001</v>
      </c>
      <c r="E42" s="5">
        <v>11376.313249999999</v>
      </c>
      <c r="F42" s="5">
        <v>16475.570729999999</v>
      </c>
    </row>
    <row r="43" spans="1:6" x14ac:dyDescent="0.75">
      <c r="A43" s="9">
        <v>40909</v>
      </c>
      <c r="B43" s="5">
        <v>934111.96</v>
      </c>
      <c r="C43" s="5">
        <v>46111.050689999996</v>
      </c>
      <c r="D43" s="5">
        <v>15570.069320000001</v>
      </c>
      <c r="E43" s="5">
        <v>9670.6134469999997</v>
      </c>
      <c r="F43" s="5">
        <v>14554.618780000001</v>
      </c>
    </row>
    <row r="44" spans="1:6" x14ac:dyDescent="0.75">
      <c r="A44" s="9">
        <v>40940</v>
      </c>
      <c r="B44" s="5">
        <v>942112.5</v>
      </c>
      <c r="C44" s="5">
        <v>46809.344349999999</v>
      </c>
      <c r="D44" s="5">
        <v>15695.443240000001</v>
      </c>
      <c r="E44" s="5">
        <v>11041.16792</v>
      </c>
      <c r="F44" s="5">
        <v>14866.785110000001</v>
      </c>
    </row>
    <row r="45" spans="1:6" x14ac:dyDescent="0.75">
      <c r="A45" s="9">
        <v>40969</v>
      </c>
      <c r="B45" s="5">
        <v>926120.2</v>
      </c>
      <c r="C45" s="5">
        <v>56650.974569999998</v>
      </c>
      <c r="D45" s="5">
        <v>17251.51944</v>
      </c>
      <c r="E45" s="5">
        <v>11234.783460000001</v>
      </c>
      <c r="F45" s="5">
        <v>16325.662480000001</v>
      </c>
    </row>
    <row r="46" spans="1:6" x14ac:dyDescent="0.75">
      <c r="A46" s="9">
        <v>41000</v>
      </c>
      <c r="B46" s="5">
        <v>963364.08</v>
      </c>
      <c r="C46" s="5">
        <v>56984.74725</v>
      </c>
      <c r="D46" s="5">
        <v>16173.190979999999</v>
      </c>
      <c r="E46" s="5">
        <v>11579.45996</v>
      </c>
      <c r="F46" s="5">
        <v>16937.87572</v>
      </c>
    </row>
    <row r="47" spans="1:6" x14ac:dyDescent="0.75">
      <c r="A47" s="9">
        <v>41030</v>
      </c>
      <c r="B47" s="5">
        <v>971114.43</v>
      </c>
      <c r="C47" s="5">
        <v>50037.143960000001</v>
      </c>
      <c r="D47" s="5">
        <v>16829.545549999999</v>
      </c>
      <c r="E47" s="5">
        <v>11877.76</v>
      </c>
      <c r="F47" s="5">
        <v>17036.7644</v>
      </c>
    </row>
    <row r="48" spans="1:6" x14ac:dyDescent="0.75">
      <c r="A48" s="9">
        <v>41061</v>
      </c>
      <c r="B48" s="5">
        <v>925568.46</v>
      </c>
      <c r="C48" s="5">
        <v>42563.479240000001</v>
      </c>
      <c r="D48" s="5">
        <v>15441.45793</v>
      </c>
      <c r="E48" s="5">
        <v>12259.79</v>
      </c>
      <c r="F48" s="5">
        <v>16727.52176</v>
      </c>
    </row>
    <row r="49" spans="1:6" x14ac:dyDescent="0.75">
      <c r="A49" s="9">
        <v>41091</v>
      </c>
      <c r="B49" s="5">
        <v>936305.17</v>
      </c>
      <c r="C49" s="5">
        <v>42089.792229999999</v>
      </c>
      <c r="D49" s="5">
        <v>16090.595300000001</v>
      </c>
      <c r="E49" s="5">
        <v>11541.32537</v>
      </c>
      <c r="F49" s="5">
        <v>16354.450279999999</v>
      </c>
    </row>
    <row r="50" spans="1:6" x14ac:dyDescent="0.75">
      <c r="A50" s="9">
        <v>41122</v>
      </c>
      <c r="B50" s="5">
        <v>955708.65</v>
      </c>
      <c r="C50" s="5">
        <v>41876.363720000001</v>
      </c>
      <c r="D50" s="5">
        <v>14047.007379999999</v>
      </c>
      <c r="E50" s="5">
        <v>10127.26634</v>
      </c>
      <c r="F50" s="5">
        <v>13813.875819999999</v>
      </c>
    </row>
    <row r="51" spans="1:6" x14ac:dyDescent="0.75">
      <c r="A51" s="9">
        <v>41153</v>
      </c>
      <c r="B51" s="5">
        <v>975633.01</v>
      </c>
      <c r="C51" s="5">
        <v>45281.036939999998</v>
      </c>
      <c r="D51" s="5">
        <v>15898.11572</v>
      </c>
      <c r="E51" s="5">
        <v>10806.82589</v>
      </c>
      <c r="F51" s="5">
        <v>15348.55747</v>
      </c>
    </row>
    <row r="52" spans="1:6" x14ac:dyDescent="0.75">
      <c r="A52" s="9">
        <v>41183</v>
      </c>
      <c r="B52" s="5">
        <v>990455.14</v>
      </c>
      <c r="C52" s="5">
        <v>52612.60065</v>
      </c>
      <c r="D52" s="5">
        <v>15324.042719999999</v>
      </c>
      <c r="E52" s="5">
        <v>12309.02</v>
      </c>
      <c r="F52" s="5">
        <v>17207.931359999999</v>
      </c>
    </row>
    <row r="53" spans="1:6" x14ac:dyDescent="0.75">
      <c r="A53" s="9">
        <v>41214</v>
      </c>
      <c r="B53" s="5">
        <v>989138.1</v>
      </c>
      <c r="C53" s="5">
        <v>59388.239070000003</v>
      </c>
      <c r="D53" s="5">
        <v>16316.911270000001</v>
      </c>
      <c r="E53" s="5">
        <v>12498.58986</v>
      </c>
      <c r="F53" s="5">
        <v>16935.009719999998</v>
      </c>
    </row>
    <row r="54" spans="1:6" x14ac:dyDescent="0.75">
      <c r="A54" s="9">
        <v>41244</v>
      </c>
      <c r="B54" s="5">
        <v>965441.97</v>
      </c>
      <c r="C54" s="5">
        <v>59732.574280000001</v>
      </c>
      <c r="D54" s="5">
        <v>15393.946389999999</v>
      </c>
      <c r="E54" s="5">
        <v>11337.01511</v>
      </c>
      <c r="F54" s="5">
        <v>15581.977290000001</v>
      </c>
    </row>
    <row r="55" spans="1:6" x14ac:dyDescent="0.75">
      <c r="A55" s="9">
        <v>41275</v>
      </c>
      <c r="B55" s="5">
        <v>960233.05</v>
      </c>
      <c r="C55" s="5">
        <v>55662</v>
      </c>
      <c r="D55" s="5">
        <v>15375.4879</v>
      </c>
      <c r="E55" s="5">
        <v>11925.16</v>
      </c>
      <c r="F55" s="5">
        <v>15450.23532</v>
      </c>
    </row>
    <row r="56" spans="1:6" x14ac:dyDescent="0.75">
      <c r="A56" s="9">
        <v>41306</v>
      </c>
      <c r="B56" s="5">
        <v>937713.6</v>
      </c>
      <c r="C56" s="5">
        <v>53861.77016</v>
      </c>
      <c r="D56" s="5">
        <v>15015.62774</v>
      </c>
      <c r="E56" s="5">
        <v>10904.690189999999</v>
      </c>
      <c r="F56" s="5">
        <v>15313.28623</v>
      </c>
    </row>
    <row r="57" spans="1:6" x14ac:dyDescent="0.75">
      <c r="A57" s="9">
        <v>41334</v>
      </c>
      <c r="B57" s="5">
        <v>947361.74</v>
      </c>
      <c r="C57" s="5">
        <v>59776.509209999997</v>
      </c>
      <c r="D57" s="5">
        <v>15024.57768</v>
      </c>
      <c r="E57" s="5">
        <v>11018.31805</v>
      </c>
      <c r="F57" s="5">
        <v>14887.075650000001</v>
      </c>
    </row>
    <row r="58" spans="1:6" x14ac:dyDescent="0.75">
      <c r="A58" s="9">
        <v>41365</v>
      </c>
      <c r="B58" s="5">
        <v>940165.16</v>
      </c>
      <c r="C58" s="5">
        <v>58887.635549999999</v>
      </c>
      <c r="D58" s="5">
        <v>14760.89213</v>
      </c>
      <c r="E58" s="5">
        <v>12210.31891</v>
      </c>
      <c r="F58" s="5">
        <v>16463.468840000001</v>
      </c>
    </row>
    <row r="59" spans="1:6" x14ac:dyDescent="0.75">
      <c r="A59" s="9">
        <v>41395</v>
      </c>
      <c r="B59" s="5">
        <v>935590.1</v>
      </c>
      <c r="C59" s="5">
        <v>61440.50245</v>
      </c>
      <c r="D59" s="5">
        <v>16133.358190000001</v>
      </c>
      <c r="E59" s="5">
        <v>12610.02774</v>
      </c>
      <c r="F59" s="5">
        <v>16660.559290000001</v>
      </c>
    </row>
    <row r="60" spans="1:6" x14ac:dyDescent="0.75">
      <c r="A60" s="9">
        <v>41426</v>
      </c>
      <c r="B60" s="5">
        <v>833820.89</v>
      </c>
      <c r="C60" s="5">
        <v>54121.878210000003</v>
      </c>
      <c r="D60" s="5">
        <v>14758.819149999999</v>
      </c>
      <c r="E60" s="5">
        <v>11925.60433</v>
      </c>
      <c r="F60" s="5">
        <v>15636.01996</v>
      </c>
    </row>
    <row r="61" spans="1:6" x14ac:dyDescent="0.75">
      <c r="A61" s="9">
        <v>41456</v>
      </c>
      <c r="B61" s="5">
        <v>849697.39</v>
      </c>
      <c r="C61" s="5">
        <v>56083.727700000003</v>
      </c>
      <c r="D61" s="5">
        <v>15087.86357</v>
      </c>
      <c r="E61" s="5">
        <v>13229.87206</v>
      </c>
      <c r="F61" s="5">
        <v>17416.991669999999</v>
      </c>
    </row>
    <row r="62" spans="1:6" x14ac:dyDescent="0.75">
      <c r="A62" s="9">
        <v>41487</v>
      </c>
      <c r="B62" s="5">
        <v>879469.77</v>
      </c>
      <c r="C62" s="5">
        <v>53046.541729999997</v>
      </c>
      <c r="D62" s="5">
        <v>13083.707039999999</v>
      </c>
      <c r="E62" s="5">
        <v>9897.6457840000003</v>
      </c>
      <c r="F62" s="5">
        <v>13012.045840000001</v>
      </c>
    </row>
    <row r="63" spans="1:6" x14ac:dyDescent="0.75">
      <c r="A63" s="9">
        <v>41518</v>
      </c>
      <c r="B63" s="5">
        <v>972111.2</v>
      </c>
      <c r="C63" s="5">
        <v>55867.989990000002</v>
      </c>
      <c r="D63" s="5">
        <v>14706.775079999999</v>
      </c>
      <c r="E63" s="5">
        <v>11291.92179</v>
      </c>
      <c r="F63" s="5">
        <v>15509.774939999999</v>
      </c>
    </row>
    <row r="64" spans="1:6" x14ac:dyDescent="0.75">
      <c r="A64" s="9">
        <v>41548</v>
      </c>
      <c r="B64" s="5">
        <v>955881.36</v>
      </c>
      <c r="C64" s="5">
        <v>57019.945829999997</v>
      </c>
      <c r="D64" s="5">
        <v>15698.330389999999</v>
      </c>
      <c r="E64" s="5">
        <v>12103.233550000001</v>
      </c>
      <c r="F64" s="5">
        <v>15674.02174</v>
      </c>
    </row>
    <row r="65" spans="1:6" x14ac:dyDescent="0.75">
      <c r="A65" s="9">
        <v>41579</v>
      </c>
      <c r="B65" s="5">
        <v>987758.88</v>
      </c>
      <c r="C65" s="5">
        <v>65039.844040000004</v>
      </c>
      <c r="D65" s="5">
        <v>15938.557640000001</v>
      </c>
      <c r="E65" s="5">
        <v>11653.190039999999</v>
      </c>
      <c r="F65" s="5">
        <v>15149.325409999999</v>
      </c>
    </row>
    <row r="66" spans="1:6" x14ac:dyDescent="0.75">
      <c r="A66" s="9">
        <v>41609</v>
      </c>
      <c r="B66" s="5">
        <v>1011360.64</v>
      </c>
      <c r="C66" s="5">
        <v>69196.71974</v>
      </c>
      <c r="D66" s="5">
        <v>16967.798190000001</v>
      </c>
      <c r="E66" s="5">
        <v>12339.60607</v>
      </c>
      <c r="F66" s="5">
        <v>15455.86498</v>
      </c>
    </row>
    <row r="67" spans="1:6" x14ac:dyDescent="0.75">
      <c r="A67" s="9">
        <v>41640</v>
      </c>
      <c r="B67" s="5">
        <v>1035756.95</v>
      </c>
      <c r="C67" s="5">
        <v>49154.384700000002</v>
      </c>
      <c r="D67" s="5">
        <v>14472.28565</v>
      </c>
      <c r="E67" s="5">
        <v>11590.99696</v>
      </c>
      <c r="F67" s="5">
        <v>14916.22769</v>
      </c>
    </row>
    <row r="68" spans="1:6" x14ac:dyDescent="0.75">
      <c r="A68" s="9">
        <v>41671</v>
      </c>
      <c r="B68" s="5">
        <v>1009223.58</v>
      </c>
      <c r="C68" s="5">
        <v>43399.68073</v>
      </c>
      <c r="D68" s="5">
        <v>14634.090389999999</v>
      </c>
      <c r="E68" s="5">
        <v>10640.029640000001</v>
      </c>
      <c r="F68" s="5">
        <v>13790.661990000001</v>
      </c>
    </row>
    <row r="69" spans="1:6" x14ac:dyDescent="0.75">
      <c r="A69" s="9">
        <v>41699</v>
      </c>
      <c r="B69" s="5">
        <v>983372.4</v>
      </c>
      <c r="C69" s="5">
        <v>49294.958689999999</v>
      </c>
      <c r="D69" s="5">
        <v>15192.634700000001</v>
      </c>
      <c r="E69" s="5">
        <v>11439.92345</v>
      </c>
      <c r="F69" s="5">
        <v>14523.71941</v>
      </c>
    </row>
    <row r="70" spans="1:6" x14ac:dyDescent="0.75">
      <c r="A70" s="9">
        <v>41730</v>
      </c>
      <c r="B70" s="5">
        <v>1010166.56</v>
      </c>
      <c r="C70" s="5">
        <v>45541.731339999998</v>
      </c>
      <c r="D70" s="5">
        <v>14292.47255</v>
      </c>
      <c r="E70" s="5">
        <v>13005.41941</v>
      </c>
      <c r="F70" s="5">
        <v>16254.97632</v>
      </c>
    </row>
    <row r="71" spans="1:6" x14ac:dyDescent="0.75">
      <c r="A71" s="9">
        <v>41760</v>
      </c>
      <c r="B71" s="5">
        <v>1056870.92</v>
      </c>
      <c r="C71" s="5">
        <v>47417.633580000002</v>
      </c>
      <c r="D71" s="5">
        <v>14823.60266</v>
      </c>
      <c r="E71" s="5">
        <v>12197.088100000001</v>
      </c>
      <c r="F71" s="5">
        <v>14770.33678</v>
      </c>
    </row>
    <row r="72" spans="1:6" x14ac:dyDescent="0.75">
      <c r="A72" s="9">
        <v>41791</v>
      </c>
      <c r="B72" s="5">
        <v>1072451.23</v>
      </c>
      <c r="C72" s="5">
        <v>44989.016799999998</v>
      </c>
      <c r="D72" s="5">
        <v>15409.45177</v>
      </c>
      <c r="E72" s="5">
        <v>12811.35269</v>
      </c>
      <c r="F72" s="5">
        <v>15697.74244</v>
      </c>
    </row>
    <row r="73" spans="1:6" x14ac:dyDescent="0.75">
      <c r="A73" s="9">
        <v>41821</v>
      </c>
      <c r="B73" s="5">
        <v>1051084.8899999999</v>
      </c>
      <c r="C73" s="5">
        <v>43624.670279999998</v>
      </c>
      <c r="D73" s="5">
        <v>14124.129300000001</v>
      </c>
      <c r="E73" s="5">
        <v>11541.37617</v>
      </c>
      <c r="F73" s="5">
        <v>14081.71024</v>
      </c>
    </row>
    <row r="74" spans="1:6" x14ac:dyDescent="0.75">
      <c r="A74" s="9">
        <v>41852</v>
      </c>
      <c r="B74" s="5">
        <v>1063300.6499999999</v>
      </c>
      <c r="C74" s="5">
        <v>43484.947229999998</v>
      </c>
      <c r="D74" s="5">
        <v>14481.642320000001</v>
      </c>
      <c r="E74" s="5">
        <v>11676.18586</v>
      </c>
      <c r="F74" s="5">
        <v>14793.23697</v>
      </c>
    </row>
    <row r="75" spans="1:6" x14ac:dyDescent="0.75">
      <c r="A75" s="9">
        <v>41883</v>
      </c>
      <c r="B75" s="5">
        <v>1114215.32</v>
      </c>
      <c r="C75" s="5">
        <v>46043.270709999997</v>
      </c>
      <c r="D75" s="5">
        <v>15275.846089999999</v>
      </c>
      <c r="E75" s="5">
        <v>13158.825419999999</v>
      </c>
      <c r="F75" s="5">
        <v>15546.096310000001</v>
      </c>
    </row>
    <row r="76" spans="1:6" x14ac:dyDescent="0.75">
      <c r="A76" s="9">
        <v>41913</v>
      </c>
      <c r="B76" s="5">
        <v>1096264.02</v>
      </c>
      <c r="C76" s="5">
        <v>43705.129569999997</v>
      </c>
      <c r="D76" s="5">
        <v>15292.75901</v>
      </c>
      <c r="E76" s="5">
        <v>13184.342269999999</v>
      </c>
      <c r="F76" s="5">
        <v>15327.99453</v>
      </c>
    </row>
    <row r="77" spans="1:6" x14ac:dyDescent="0.75">
      <c r="A77" s="9">
        <v>41944</v>
      </c>
      <c r="B77" s="5">
        <v>1102325.1599999999</v>
      </c>
      <c r="C77" s="5">
        <v>46182.202160000001</v>
      </c>
      <c r="D77" s="5">
        <v>13544.72921</v>
      </c>
      <c r="E77" s="5">
        <v>12258.277330000001</v>
      </c>
      <c r="F77" s="5">
        <v>14041.60793</v>
      </c>
    </row>
    <row r="78" spans="1:6" x14ac:dyDescent="0.75">
      <c r="A78" s="9">
        <v>41974</v>
      </c>
      <c r="B78" s="5">
        <v>1105782.8700000001</v>
      </c>
      <c r="C78" s="5">
        <v>46611.210870000003</v>
      </c>
      <c r="D78" s="5">
        <v>14436.33966</v>
      </c>
      <c r="E78" s="5">
        <v>14230.464749999999</v>
      </c>
      <c r="F78" s="5">
        <v>14434.506009999999</v>
      </c>
    </row>
    <row r="79" spans="1:6" x14ac:dyDescent="0.75">
      <c r="A79" s="9">
        <v>42005</v>
      </c>
      <c r="B79" s="5">
        <v>1194241.9099999999</v>
      </c>
      <c r="C79" s="5">
        <v>43443.199999999997</v>
      </c>
      <c r="D79" s="5">
        <v>13244.8768</v>
      </c>
      <c r="E79" s="5">
        <v>11995.41012</v>
      </c>
      <c r="F79" s="5">
        <v>12612.64884</v>
      </c>
    </row>
    <row r="80" spans="1:6" x14ac:dyDescent="0.75">
      <c r="A80" s="9">
        <v>42036</v>
      </c>
      <c r="B80" s="5">
        <v>1207649.8999999999</v>
      </c>
      <c r="C80" s="5">
        <v>39768.341039999999</v>
      </c>
      <c r="D80" s="5">
        <v>12172.80286</v>
      </c>
      <c r="E80" s="5">
        <v>12134.877570000001</v>
      </c>
      <c r="F80" s="5">
        <v>11510.1114</v>
      </c>
    </row>
    <row r="81" spans="1:6" x14ac:dyDescent="0.75">
      <c r="A81" s="9">
        <v>42064</v>
      </c>
      <c r="B81" s="5">
        <v>1189180.94</v>
      </c>
      <c r="C81" s="5">
        <v>48209.800170000002</v>
      </c>
      <c r="D81" s="5">
        <v>13634.04197</v>
      </c>
      <c r="E81" s="5">
        <v>12815.24259</v>
      </c>
      <c r="F81" s="5">
        <v>12608.691720000001</v>
      </c>
    </row>
    <row r="82" spans="1:6" x14ac:dyDescent="0.75">
      <c r="A82" s="9">
        <v>42095</v>
      </c>
      <c r="B82" s="5">
        <v>1160776.8400000001</v>
      </c>
      <c r="C82" s="5">
        <v>44113.100160000002</v>
      </c>
      <c r="D82" s="5">
        <v>13104.596799999999</v>
      </c>
      <c r="E82" s="5">
        <v>13205.353499999999</v>
      </c>
      <c r="F82" s="5">
        <v>12626.27879</v>
      </c>
    </row>
    <row r="83" spans="1:6" x14ac:dyDescent="0.75">
      <c r="A83" s="9">
        <v>42125</v>
      </c>
      <c r="B83" s="5">
        <v>1188999.58</v>
      </c>
      <c r="C83" s="5">
        <v>41543.599999999999</v>
      </c>
      <c r="D83" s="5">
        <v>12754.65904</v>
      </c>
      <c r="E83" s="5">
        <v>11452.923860000001</v>
      </c>
      <c r="F83" s="5">
        <v>11613.585489999999</v>
      </c>
    </row>
    <row r="84" spans="1:6" x14ac:dyDescent="0.75">
      <c r="A84" s="9">
        <v>42156</v>
      </c>
      <c r="B84" s="5">
        <v>1190279.46</v>
      </c>
      <c r="C84" s="5">
        <v>40886.6</v>
      </c>
      <c r="D84" s="5">
        <v>13514.10188</v>
      </c>
      <c r="E84" s="5">
        <v>12789.54882</v>
      </c>
      <c r="F84" s="5">
        <v>12978.09175</v>
      </c>
    </row>
    <row r="85" spans="1:6" x14ac:dyDescent="0.75">
      <c r="A85" s="9">
        <v>42186</v>
      </c>
      <c r="B85" s="5">
        <v>1177585.5900000001</v>
      </c>
      <c r="C85" s="5">
        <v>40908.699999999997</v>
      </c>
      <c r="D85" s="5">
        <v>11465.779759999999</v>
      </c>
      <c r="E85" s="5">
        <v>9777.9593949999999</v>
      </c>
      <c r="F85" s="5">
        <v>10081.863499999999</v>
      </c>
    </row>
    <row r="86" spans="1:6" x14ac:dyDescent="0.75">
      <c r="A86" s="9">
        <v>42217</v>
      </c>
      <c r="B86" s="5">
        <v>1178638.01</v>
      </c>
      <c r="C86" s="5">
        <v>41704</v>
      </c>
      <c r="D86" s="5">
        <v>12726.03751</v>
      </c>
      <c r="E86" s="5">
        <v>12392.07152</v>
      </c>
      <c r="F86" s="5">
        <v>12399.248089999999</v>
      </c>
    </row>
    <row r="87" spans="1:6" x14ac:dyDescent="0.75">
      <c r="A87" s="9">
        <v>42248</v>
      </c>
      <c r="B87" s="5">
        <v>1232070.6499999999</v>
      </c>
      <c r="C87" s="5">
        <v>41130.699999999997</v>
      </c>
      <c r="D87" s="5">
        <v>12588.35937</v>
      </c>
      <c r="E87" s="5">
        <v>12517.106390000001</v>
      </c>
      <c r="F87" s="5">
        <v>11558.60133</v>
      </c>
    </row>
    <row r="88" spans="1:6" x14ac:dyDescent="0.75">
      <c r="A88" s="9">
        <v>42278</v>
      </c>
      <c r="B88" s="5">
        <v>1124764.53</v>
      </c>
      <c r="C88" s="5">
        <v>43492.3</v>
      </c>
      <c r="D88" s="5">
        <v>12121.74057</v>
      </c>
      <c r="E88" s="5">
        <v>11725.2</v>
      </c>
      <c r="F88" s="5">
        <v>11108.91626</v>
      </c>
    </row>
    <row r="89" spans="1:6" x14ac:dyDescent="0.75">
      <c r="A89" s="9">
        <v>42309</v>
      </c>
      <c r="B89" s="5">
        <v>1128848.33</v>
      </c>
      <c r="C89" s="5">
        <v>41572.199999999997</v>
      </c>
      <c r="D89" s="5">
        <v>11122.18255</v>
      </c>
      <c r="E89" s="5">
        <v>12397</v>
      </c>
      <c r="F89" s="5">
        <v>11519.46852</v>
      </c>
    </row>
    <row r="90" spans="1:6" x14ac:dyDescent="0.75">
      <c r="A90" s="9">
        <v>42339</v>
      </c>
      <c r="B90" s="5">
        <v>1176638.43</v>
      </c>
      <c r="C90" s="5">
        <v>42889.7</v>
      </c>
      <c r="D90" s="5">
        <v>11917.11238</v>
      </c>
      <c r="E90" s="5">
        <v>13890.6</v>
      </c>
      <c r="F90" s="5">
        <v>12077.29855</v>
      </c>
    </row>
    <row r="91" spans="1:6" x14ac:dyDescent="0.75">
      <c r="A91" s="9">
        <v>42370</v>
      </c>
      <c r="B91" s="5">
        <v>1143187.97</v>
      </c>
      <c r="C91" s="5">
        <v>39593.480159999999</v>
      </c>
      <c r="D91" s="5">
        <v>10581.88384</v>
      </c>
      <c r="E91" s="5">
        <v>11170.356250000001</v>
      </c>
      <c r="F91" s="5">
        <v>10466.995370000001</v>
      </c>
    </row>
    <row r="92" spans="1:6" x14ac:dyDescent="0.75">
      <c r="A92" s="9">
        <v>42401</v>
      </c>
      <c r="B92" s="5">
        <v>1146190.48</v>
      </c>
      <c r="C92" s="5">
        <v>38699.17613</v>
      </c>
      <c r="D92" s="5">
        <v>11316.734189999999</v>
      </c>
      <c r="E92" s="5">
        <v>12777.16293</v>
      </c>
      <c r="F92" s="5">
        <v>10175.631439999999</v>
      </c>
    </row>
    <row r="93" spans="1:6" x14ac:dyDescent="0.75">
      <c r="A93" s="9">
        <v>42430</v>
      </c>
      <c r="B93" s="5">
        <v>1186803.33</v>
      </c>
      <c r="C93" s="5">
        <v>43029.049630000001</v>
      </c>
      <c r="D93" s="5">
        <v>11812.127479999999</v>
      </c>
      <c r="E93" s="5">
        <v>14280.888510000001</v>
      </c>
      <c r="F93" s="5">
        <v>11301.709940000001</v>
      </c>
    </row>
    <row r="94" spans="1:6" x14ac:dyDescent="0.75">
      <c r="A94" s="9">
        <v>42461</v>
      </c>
      <c r="B94" s="5">
        <v>1180527.23</v>
      </c>
      <c r="C94" s="5">
        <v>39558.381869999997</v>
      </c>
      <c r="D94" s="5">
        <v>11689.745849999999</v>
      </c>
      <c r="E94" s="5">
        <v>12028.22257</v>
      </c>
      <c r="F94" s="5">
        <v>10813.62484</v>
      </c>
    </row>
    <row r="95" spans="1:6" x14ac:dyDescent="0.75">
      <c r="A95" s="9">
        <v>42491</v>
      </c>
      <c r="B95" s="5">
        <v>1163190.6599999999</v>
      </c>
      <c r="C95" s="5">
        <v>40622.406239999997</v>
      </c>
      <c r="D95" s="5">
        <v>11517.40913</v>
      </c>
      <c r="E95" s="5">
        <v>13132.87969</v>
      </c>
      <c r="F95" s="5">
        <v>11140.679609999999</v>
      </c>
    </row>
    <row r="96" spans="1:6" x14ac:dyDescent="0.75">
      <c r="A96" s="9">
        <v>42522</v>
      </c>
      <c r="B96" s="5">
        <v>1221949.27</v>
      </c>
      <c r="C96" s="5">
        <v>44766.89458</v>
      </c>
      <c r="D96" s="5">
        <v>13206.12277</v>
      </c>
      <c r="E96" s="5">
        <v>13501.715840000001</v>
      </c>
      <c r="F96" s="5">
        <v>12095.220499999999</v>
      </c>
    </row>
    <row r="97" spans="1:6" x14ac:dyDescent="0.75">
      <c r="A97" s="9">
        <v>42552</v>
      </c>
      <c r="B97" s="5">
        <v>1216908.27</v>
      </c>
      <c r="C97" s="5">
        <v>39032.046990000003</v>
      </c>
      <c r="D97" s="5">
        <v>9649.503976</v>
      </c>
      <c r="E97" s="5">
        <v>10138.881649999999</v>
      </c>
      <c r="F97" s="5">
        <v>9017.1591019999996</v>
      </c>
    </row>
    <row r="98" spans="1:6" x14ac:dyDescent="0.75">
      <c r="A98" s="9">
        <v>42583</v>
      </c>
      <c r="B98" s="5">
        <v>1269007.72</v>
      </c>
      <c r="C98" s="5">
        <v>45800.576789999999</v>
      </c>
      <c r="D98" s="5">
        <v>12753.921319999999</v>
      </c>
      <c r="E98" s="5">
        <v>14001.7354</v>
      </c>
      <c r="F98" s="5">
        <v>12385.15359</v>
      </c>
    </row>
    <row r="99" spans="1:6" x14ac:dyDescent="0.75">
      <c r="A99" s="9">
        <v>42614</v>
      </c>
      <c r="B99" s="5">
        <v>1270287.17</v>
      </c>
      <c r="C99" s="5">
        <v>44146.271670000002</v>
      </c>
      <c r="D99" s="5">
        <v>12579.750249999999</v>
      </c>
      <c r="E99" s="5">
        <v>12809.168009999999</v>
      </c>
      <c r="F99" s="5">
        <v>11297.51124</v>
      </c>
    </row>
    <row r="100" spans="1:6" x14ac:dyDescent="0.75">
      <c r="A100" s="9">
        <v>42644</v>
      </c>
      <c r="B100" s="5">
        <v>1274844.17</v>
      </c>
      <c r="C100" s="5">
        <v>47378.384669999999</v>
      </c>
      <c r="D100" s="5">
        <v>12743.73688</v>
      </c>
      <c r="E100" s="5">
        <v>12391.159180000001</v>
      </c>
      <c r="F100" s="5">
        <v>11507.180539999999</v>
      </c>
    </row>
    <row r="101" spans="1:6" x14ac:dyDescent="0.75">
      <c r="A101" s="9">
        <v>42675</v>
      </c>
      <c r="B101" s="5">
        <v>1262883.3700000001</v>
      </c>
      <c r="C101" s="5">
        <v>46606.20609</v>
      </c>
      <c r="D101" s="5">
        <v>13502.92038</v>
      </c>
      <c r="E101" s="5">
        <v>12804.703939999999</v>
      </c>
      <c r="F101" s="5">
        <v>12669.434719999999</v>
      </c>
    </row>
    <row r="102" spans="1:6" x14ac:dyDescent="0.75">
      <c r="A102" s="9">
        <v>42705</v>
      </c>
      <c r="B102" s="5">
        <v>1298938.08</v>
      </c>
      <c r="C102" s="5">
        <v>45551.7</v>
      </c>
      <c r="D102" s="5">
        <v>13832.35519</v>
      </c>
      <c r="E102" s="5">
        <v>12988.49713</v>
      </c>
      <c r="F102" s="5">
        <v>12782.51562</v>
      </c>
    </row>
    <row r="103" spans="1:6" x14ac:dyDescent="0.75">
      <c r="A103" s="9">
        <v>42736</v>
      </c>
      <c r="B103" s="5">
        <v>1305452.3799999999</v>
      </c>
      <c r="C103" s="5">
        <v>43565.989970000002</v>
      </c>
      <c r="D103" s="5">
        <v>13397.676589999999</v>
      </c>
      <c r="E103" s="5">
        <v>11677.8874</v>
      </c>
      <c r="F103" s="5">
        <v>11973.76583</v>
      </c>
    </row>
    <row r="104" spans="1:6" x14ac:dyDescent="0.75">
      <c r="A104" s="9">
        <v>42767</v>
      </c>
      <c r="B104" s="5">
        <v>1345426.23</v>
      </c>
      <c r="C104" s="5">
        <v>37467.812720000002</v>
      </c>
      <c r="D104" s="5">
        <v>12615.980320000001</v>
      </c>
      <c r="E104" s="5">
        <v>12640.301799999999</v>
      </c>
      <c r="F104" s="5">
        <v>11359.41057</v>
      </c>
    </row>
    <row r="105" spans="1:6" x14ac:dyDescent="0.75">
      <c r="A105" s="9">
        <v>42795</v>
      </c>
      <c r="B105" s="5">
        <v>1395154.13</v>
      </c>
      <c r="C105" s="5">
        <v>47776.913740000004</v>
      </c>
      <c r="D105" s="5">
        <v>14718.47769</v>
      </c>
      <c r="E105" s="5">
        <v>13474.016869999999</v>
      </c>
      <c r="F105" s="5">
        <v>13283.18658</v>
      </c>
    </row>
    <row r="106" spans="1:6" x14ac:dyDescent="0.75">
      <c r="A106" s="9">
        <v>42826</v>
      </c>
      <c r="B106" s="5">
        <v>1423142.23</v>
      </c>
      <c r="C106" s="5">
        <v>44248.565280000003</v>
      </c>
      <c r="D106" s="5">
        <v>13269.689619999999</v>
      </c>
      <c r="E106" s="5">
        <v>12432.054819999999</v>
      </c>
      <c r="F106" s="5">
        <v>11950.6129</v>
      </c>
    </row>
    <row r="107" spans="1:6" x14ac:dyDescent="0.75">
      <c r="A107" s="9">
        <v>42856</v>
      </c>
      <c r="B107" s="5">
        <v>1446967.2</v>
      </c>
      <c r="C107" s="5">
        <v>44049.700230000002</v>
      </c>
      <c r="D107" s="5">
        <v>14333.85952</v>
      </c>
      <c r="E107" s="5">
        <v>14996.662990000001</v>
      </c>
      <c r="F107" s="5">
        <v>13772.553260000001</v>
      </c>
    </row>
    <row r="108" spans="1:6" x14ac:dyDescent="0.75">
      <c r="A108" s="9">
        <v>42887</v>
      </c>
      <c r="B108" s="5">
        <v>1434033.21</v>
      </c>
      <c r="C108" s="5">
        <v>39899.123549999997</v>
      </c>
      <c r="D108" s="5">
        <v>11661.37638</v>
      </c>
      <c r="E108" s="5">
        <v>11067.266659999999</v>
      </c>
      <c r="F108" s="5">
        <v>9991.5675659999997</v>
      </c>
    </row>
    <row r="109" spans="1:6" x14ac:dyDescent="0.75">
      <c r="A109" s="9">
        <v>42917</v>
      </c>
      <c r="B109" s="5">
        <v>1484065.47</v>
      </c>
      <c r="C109" s="5">
        <v>45104.086459999999</v>
      </c>
      <c r="D109" s="5">
        <v>13611.0625</v>
      </c>
      <c r="E109" s="5">
        <v>13474.009389999999</v>
      </c>
      <c r="F109" s="5">
        <v>13889.809440000001</v>
      </c>
    </row>
    <row r="110" spans="1:6" x14ac:dyDescent="0.75">
      <c r="A110" s="9">
        <v>42948</v>
      </c>
      <c r="B110" s="5">
        <v>1508682.07</v>
      </c>
      <c r="C110" s="5">
        <v>47603.859329999999</v>
      </c>
      <c r="D110" s="5">
        <v>15187.991</v>
      </c>
      <c r="E110" s="5">
        <v>14290.32682</v>
      </c>
      <c r="F110" s="5">
        <v>13509.196599999999</v>
      </c>
    </row>
    <row r="111" spans="1:6" x14ac:dyDescent="0.75">
      <c r="A111" s="9">
        <v>42979</v>
      </c>
      <c r="B111" s="5">
        <v>1530099.62</v>
      </c>
      <c r="C111" s="5">
        <v>48289.451399999998</v>
      </c>
      <c r="D111" s="5">
        <v>14580.216109999999</v>
      </c>
      <c r="E111" s="5">
        <v>13017.26535</v>
      </c>
      <c r="F111" s="5">
        <v>12788.29197</v>
      </c>
    </row>
    <row r="112" spans="1:6" x14ac:dyDescent="0.75">
      <c r="A112" s="9">
        <v>43009</v>
      </c>
      <c r="B112" s="5">
        <v>1505180.88</v>
      </c>
      <c r="C112" s="5">
        <v>50820.82819</v>
      </c>
      <c r="D112" s="5">
        <v>15252.563529999999</v>
      </c>
      <c r="E112" s="5">
        <v>14703.97018</v>
      </c>
      <c r="F112" s="5">
        <v>14249.17938</v>
      </c>
    </row>
    <row r="113" spans="1:6" x14ac:dyDescent="0.75">
      <c r="A113" s="9">
        <v>43040</v>
      </c>
      <c r="B113" s="5">
        <v>1480271.76</v>
      </c>
      <c r="C113" s="5">
        <v>47905.955329999997</v>
      </c>
      <c r="D113" s="5">
        <v>15334.7356</v>
      </c>
      <c r="E113" s="5">
        <v>14557.794980000001</v>
      </c>
      <c r="F113" s="5">
        <v>15113.523080000001</v>
      </c>
    </row>
    <row r="114" spans="1:6" x14ac:dyDescent="0.75">
      <c r="A114" s="9">
        <v>43070</v>
      </c>
      <c r="B114" s="5">
        <v>1541837.97</v>
      </c>
      <c r="C114" s="5">
        <v>49114.346859999998</v>
      </c>
      <c r="D114" s="5">
        <v>14864.54709</v>
      </c>
      <c r="E114" s="5">
        <v>14417.729369999999</v>
      </c>
      <c r="F114" s="5">
        <v>15104.466560000001</v>
      </c>
    </row>
    <row r="115" spans="1:6" x14ac:dyDescent="0.75">
      <c r="A115" s="9">
        <v>43101</v>
      </c>
      <c r="B115" s="5">
        <v>1533280.41</v>
      </c>
      <c r="C115" s="5">
        <v>48207.188459999998</v>
      </c>
      <c r="D115" s="5">
        <v>14576.277330000001</v>
      </c>
      <c r="E115" s="5">
        <v>13227.09224</v>
      </c>
      <c r="F115" s="5">
        <v>15309.429260000001</v>
      </c>
    </row>
    <row r="116" spans="1:6" x14ac:dyDescent="0.75">
      <c r="A116" s="9">
        <v>43132</v>
      </c>
      <c r="B116" s="5">
        <v>1528813.71</v>
      </c>
      <c r="C116" s="5">
        <v>46035.282229999997</v>
      </c>
      <c r="D116" s="5">
        <v>14132.38206</v>
      </c>
      <c r="E116" s="5">
        <v>13779.365</v>
      </c>
      <c r="F116" s="5">
        <v>14185.493769999999</v>
      </c>
    </row>
    <row r="117" spans="1:6" x14ac:dyDescent="0.75">
      <c r="A117" s="9">
        <v>43160</v>
      </c>
      <c r="B117" s="5">
        <v>1524593.14</v>
      </c>
      <c r="C117" s="5">
        <v>52078.259570000002</v>
      </c>
      <c r="D117" s="5">
        <v>15510.6167</v>
      </c>
      <c r="E117" s="5">
        <v>12979.52418</v>
      </c>
      <c r="F117" s="5">
        <v>14463.601049999999</v>
      </c>
    </row>
    <row r="118" spans="1:6" x14ac:dyDescent="0.75">
      <c r="A118" s="9">
        <v>43191</v>
      </c>
      <c r="B118" s="5">
        <v>1514085.46</v>
      </c>
      <c r="C118" s="5">
        <v>47386.767310000003</v>
      </c>
      <c r="D118" s="5">
        <v>14496.23806</v>
      </c>
      <c r="E118" s="5">
        <v>14804.211160000001</v>
      </c>
      <c r="F118" s="5">
        <v>16162.289360000001</v>
      </c>
    </row>
    <row r="119" spans="1:6" x14ac:dyDescent="0.75">
      <c r="A119" s="9">
        <v>43221</v>
      </c>
      <c r="B119" s="5">
        <v>1452085.76</v>
      </c>
      <c r="C119" s="5">
        <v>51577.563770000001</v>
      </c>
      <c r="D119" s="5">
        <v>16198.340829999999</v>
      </c>
      <c r="E119" s="5">
        <v>16444.214199999999</v>
      </c>
      <c r="F119" s="5">
        <v>17662.88897</v>
      </c>
    </row>
    <row r="120" spans="1:6" x14ac:dyDescent="0.75">
      <c r="A120" s="9">
        <v>43252</v>
      </c>
      <c r="B120" s="5">
        <v>1482400.81</v>
      </c>
      <c r="C120" s="5">
        <v>49522.181750000003</v>
      </c>
      <c r="D120" s="5">
        <v>12941.73983</v>
      </c>
      <c r="E120" s="5">
        <v>10277.76672</v>
      </c>
      <c r="F120" s="5">
        <v>11267.88524</v>
      </c>
    </row>
    <row r="121" spans="1:6" x14ac:dyDescent="0.75">
      <c r="A121" s="9">
        <v>43282</v>
      </c>
      <c r="B121" s="5">
        <v>1447312.5</v>
      </c>
      <c r="C121" s="5">
        <v>54441.3</v>
      </c>
      <c r="D121" s="5">
        <v>16284.71999</v>
      </c>
      <c r="E121" s="5">
        <v>15532.866749999999</v>
      </c>
      <c r="F121" s="5">
        <v>18297.14517</v>
      </c>
    </row>
    <row r="122" spans="1:6" x14ac:dyDescent="0.75">
      <c r="A122" s="9">
        <v>43313</v>
      </c>
      <c r="B122" s="5">
        <v>1483559.43</v>
      </c>
      <c r="C122" s="5">
        <v>48619.406719999999</v>
      </c>
      <c r="D122" s="5">
        <v>15865.12406</v>
      </c>
      <c r="E122" s="5">
        <v>15554.819750000001</v>
      </c>
      <c r="F122" s="5">
        <v>16818.139739999999</v>
      </c>
    </row>
    <row r="123" spans="1:6" x14ac:dyDescent="0.75">
      <c r="A123" s="9">
        <v>43344</v>
      </c>
      <c r="B123" s="5">
        <v>1470815.06</v>
      </c>
      <c r="C123" s="5">
        <v>50393.032870000003</v>
      </c>
      <c r="D123" s="5">
        <v>14956.34823</v>
      </c>
      <c r="E123" s="5">
        <v>12860.756789999999</v>
      </c>
      <c r="F123" s="5">
        <v>14610.05788</v>
      </c>
    </row>
    <row r="124" spans="1:6" x14ac:dyDescent="0.75">
      <c r="A124" s="9">
        <v>43374</v>
      </c>
      <c r="B124" s="5">
        <v>1494443.35</v>
      </c>
      <c r="C124" s="5">
        <v>56706.511180000001</v>
      </c>
      <c r="D124" s="5">
        <v>15909.07285</v>
      </c>
      <c r="E124" s="5">
        <v>15923.155510000001</v>
      </c>
      <c r="F124" s="5">
        <v>17667.618900000001</v>
      </c>
    </row>
    <row r="125" spans="1:6" x14ac:dyDescent="0.75">
      <c r="A125" s="9">
        <v>43405</v>
      </c>
      <c r="B125" s="5">
        <v>1444269.8</v>
      </c>
      <c r="C125" s="5">
        <v>51141.32116</v>
      </c>
      <c r="D125" s="5">
        <v>14851.720859999999</v>
      </c>
      <c r="E125" s="5">
        <v>15618.755160000001</v>
      </c>
      <c r="F125" s="5">
        <v>16901.814780000001</v>
      </c>
    </row>
    <row r="126" spans="1:6" x14ac:dyDescent="0.75">
      <c r="A126" s="9">
        <v>43435</v>
      </c>
      <c r="B126" s="5">
        <v>1442601.78</v>
      </c>
      <c r="C126" s="5">
        <v>52798.736010000001</v>
      </c>
      <c r="D126" s="5">
        <v>14290.093210000001</v>
      </c>
      <c r="E126" s="5">
        <v>14716.89803</v>
      </c>
      <c r="F126" s="5">
        <v>15364.98609</v>
      </c>
    </row>
    <row r="127" spans="1:6" x14ac:dyDescent="0.75">
      <c r="A127" s="9">
        <v>43466</v>
      </c>
      <c r="B127" s="5">
        <v>1387582.19</v>
      </c>
      <c r="C127" s="5">
        <v>55246.84345</v>
      </c>
      <c r="D127" s="5">
        <v>14028.0864</v>
      </c>
      <c r="E127" s="5">
        <v>13890.72964</v>
      </c>
      <c r="F127" s="5">
        <v>15005.191440000001</v>
      </c>
    </row>
    <row r="128" spans="1:6" x14ac:dyDescent="0.75">
      <c r="A128" s="9">
        <v>43497</v>
      </c>
      <c r="B128" s="5">
        <v>1451137.31</v>
      </c>
      <c r="C128" s="5">
        <v>48808.595229999999</v>
      </c>
      <c r="D128" s="5">
        <v>12788.557129999999</v>
      </c>
      <c r="E128" s="5">
        <v>12504.867550000001</v>
      </c>
      <c r="F128" s="5">
        <v>12465.07394</v>
      </c>
    </row>
    <row r="129" spans="1:6" x14ac:dyDescent="0.75">
      <c r="A129" s="9">
        <v>43525</v>
      </c>
      <c r="B129" s="5">
        <v>1467484.59</v>
      </c>
      <c r="C129" s="5">
        <v>57554.311500000003</v>
      </c>
      <c r="D129" s="5">
        <v>14447.78901</v>
      </c>
      <c r="E129" s="5">
        <v>13121.48236</v>
      </c>
      <c r="F129" s="5">
        <v>13746.621859999999</v>
      </c>
    </row>
    <row r="130" spans="1:6" x14ac:dyDescent="0.75">
      <c r="A130" s="9">
        <v>43556</v>
      </c>
      <c r="B130" s="5">
        <v>1421737.18</v>
      </c>
      <c r="C130" s="5">
        <v>52457.926829999997</v>
      </c>
      <c r="D130" s="5">
        <v>13068.06833</v>
      </c>
      <c r="E130" s="5">
        <v>14143.96256</v>
      </c>
      <c r="F130" s="5">
        <v>15399.18593</v>
      </c>
    </row>
    <row r="131" spans="1:6" x14ac:dyDescent="0.75">
      <c r="A131" s="9">
        <v>43586</v>
      </c>
      <c r="B131" s="5">
        <v>1403335.13</v>
      </c>
      <c r="C131" s="5">
        <v>57812.247560000003</v>
      </c>
      <c r="D131" s="5">
        <v>14751.890719999999</v>
      </c>
      <c r="E131" s="5">
        <v>14766.06963</v>
      </c>
      <c r="F131" s="5">
        <v>14606.65928</v>
      </c>
    </row>
    <row r="132" spans="1:6" x14ac:dyDescent="0.75">
      <c r="A132" s="9">
        <v>43617</v>
      </c>
      <c r="B132" s="5">
        <v>1447420.29</v>
      </c>
      <c r="C132" s="5">
        <v>46497.60426</v>
      </c>
      <c r="D132" s="5">
        <v>11763.353139999999</v>
      </c>
      <c r="E132" s="5">
        <v>10254.928550000001</v>
      </c>
      <c r="F132" s="5">
        <v>11495.388059999999</v>
      </c>
    </row>
    <row r="133" spans="1:6" x14ac:dyDescent="0.75">
      <c r="A133" s="9">
        <v>43647</v>
      </c>
      <c r="B133" s="5">
        <v>1467212.44</v>
      </c>
      <c r="C133" s="5">
        <v>56408.079590000001</v>
      </c>
      <c r="D133" s="5">
        <v>15238.418110000001</v>
      </c>
      <c r="E133" s="5">
        <v>13609.908020000001</v>
      </c>
      <c r="F133" s="5">
        <v>15518.475619999999</v>
      </c>
    </row>
    <row r="134" spans="1:6" x14ac:dyDescent="0.75">
      <c r="A134" s="9">
        <v>43678</v>
      </c>
      <c r="B134" s="5">
        <v>1526015.14</v>
      </c>
      <c r="C134" s="5">
        <v>52385.275560000002</v>
      </c>
      <c r="D134" s="5">
        <v>14261.962729999999</v>
      </c>
      <c r="E134" s="5">
        <v>12679.65575</v>
      </c>
      <c r="F134" s="5">
        <v>14169.350759999999</v>
      </c>
    </row>
    <row r="135" spans="1:6" x14ac:dyDescent="0.75">
      <c r="A135" s="9">
        <v>43709</v>
      </c>
      <c r="B135" s="5">
        <v>1510496.02</v>
      </c>
      <c r="C135" s="5">
        <v>54682.878629999999</v>
      </c>
      <c r="D135" s="5">
        <v>14080.10845</v>
      </c>
      <c r="E135" s="5">
        <v>13506.445659999999</v>
      </c>
      <c r="F135" s="5">
        <v>14263.44888</v>
      </c>
    </row>
    <row r="136" spans="1:6" x14ac:dyDescent="0.75">
      <c r="A136" s="9">
        <v>43739</v>
      </c>
      <c r="B136" s="5">
        <v>1523637.39</v>
      </c>
      <c r="C136" s="5">
        <v>61413</v>
      </c>
      <c r="D136" s="5">
        <v>14881.45685</v>
      </c>
      <c r="E136" s="5">
        <v>13605.297570000001</v>
      </c>
      <c r="F136" s="5">
        <v>14759.08143</v>
      </c>
    </row>
    <row r="137" spans="1:6" x14ac:dyDescent="0.75">
      <c r="A137" s="9">
        <v>43770</v>
      </c>
      <c r="B137" s="5">
        <v>1510854.63</v>
      </c>
      <c r="C137" s="5">
        <v>56022.2</v>
      </c>
      <c r="D137" s="5">
        <v>13944.48696</v>
      </c>
      <c r="E137" s="5">
        <v>16222.86203</v>
      </c>
      <c r="F137" s="5">
        <v>15340.475280000001</v>
      </c>
    </row>
    <row r="138" spans="1:6" x14ac:dyDescent="0.75">
      <c r="A138" s="9">
        <v>43800</v>
      </c>
      <c r="B138" s="5">
        <v>1506614.21</v>
      </c>
      <c r="C138" s="5">
        <v>55720.1</v>
      </c>
      <c r="D138" s="5">
        <v>14428.818310000001</v>
      </c>
      <c r="E138" s="5">
        <v>14283.648450000001</v>
      </c>
      <c r="F138" s="5">
        <v>14506.784519999999</v>
      </c>
    </row>
    <row r="139" spans="1:6" x14ac:dyDescent="0.75">
      <c r="A139" s="9">
        <v>43831</v>
      </c>
      <c r="B139" s="5">
        <v>1524649.89</v>
      </c>
      <c r="C139" s="5">
        <v>50900.144919999999</v>
      </c>
      <c r="D139" s="5">
        <v>13636.41265</v>
      </c>
      <c r="E139" s="5">
        <v>12143.55287</v>
      </c>
      <c r="F139" s="5">
        <v>14268.72028</v>
      </c>
    </row>
    <row r="140" spans="1:6" x14ac:dyDescent="0.75">
      <c r="A140" s="9">
        <v>43862</v>
      </c>
      <c r="B140" s="5">
        <v>1593389.44</v>
      </c>
      <c r="C140" s="5">
        <v>49671.209459999998</v>
      </c>
      <c r="D140" s="5">
        <v>14042.089239999999</v>
      </c>
      <c r="E140" s="5">
        <v>13059.58403</v>
      </c>
      <c r="F140" s="5">
        <v>11548.100130000001</v>
      </c>
    </row>
    <row r="141" spans="1:6" x14ac:dyDescent="0.75">
      <c r="A141" s="9">
        <v>43891</v>
      </c>
      <c r="B141" s="5">
        <v>1670976.29</v>
      </c>
      <c r="C141" s="5">
        <v>54068.776030000001</v>
      </c>
      <c r="D141" s="5">
        <v>14031.292079999999</v>
      </c>
      <c r="E141" s="5">
        <v>14432.18326</v>
      </c>
      <c r="F141" s="5">
        <v>13352.176369999999</v>
      </c>
    </row>
    <row r="142" spans="1:6" x14ac:dyDescent="0.75">
      <c r="A142" s="9">
        <v>43922</v>
      </c>
      <c r="B142" s="5">
        <v>1646196.87</v>
      </c>
      <c r="C142" s="5">
        <v>45172.672639999997</v>
      </c>
      <c r="D142" s="5">
        <v>12159.824549999999</v>
      </c>
      <c r="E142" s="5">
        <v>15051.046829999999</v>
      </c>
      <c r="F142" s="5">
        <v>12535.23322</v>
      </c>
    </row>
    <row r="143" spans="1:6" x14ac:dyDescent="0.75">
      <c r="A143" s="9">
        <v>43952</v>
      </c>
      <c r="B143" s="5">
        <v>1659391.04</v>
      </c>
      <c r="C143" s="5">
        <v>42236.217600000004</v>
      </c>
      <c r="D143" s="5">
        <v>10452.62542</v>
      </c>
      <c r="E143" s="5">
        <v>10084.42607</v>
      </c>
      <c r="F143" s="5">
        <v>8438.6273829999991</v>
      </c>
    </row>
    <row r="144" spans="1:6" x14ac:dyDescent="0.75">
      <c r="A144" s="9">
        <v>43983</v>
      </c>
      <c r="B144" s="5">
        <v>1622241.16</v>
      </c>
      <c r="C144" s="5">
        <v>46387.784699999997</v>
      </c>
      <c r="D144" s="5">
        <v>12006.813609999999</v>
      </c>
      <c r="E144" s="5">
        <v>11505.323619999999</v>
      </c>
      <c r="F144" s="5">
        <v>10760.31798</v>
      </c>
    </row>
    <row r="145" spans="1:6" x14ac:dyDescent="0.75">
      <c r="A145" s="9">
        <v>44013</v>
      </c>
      <c r="B145" s="5">
        <v>1724739.2</v>
      </c>
      <c r="C145" s="5">
        <v>46069.923519999997</v>
      </c>
      <c r="D145" s="5">
        <v>13689.90256</v>
      </c>
      <c r="E145" s="5">
        <v>11323.464029999999</v>
      </c>
      <c r="F145" s="5">
        <v>10464.29968</v>
      </c>
    </row>
    <row r="146" spans="1:6" x14ac:dyDescent="0.75">
      <c r="A146" s="9">
        <v>44044</v>
      </c>
      <c r="B146" s="5">
        <v>1737305.89</v>
      </c>
      <c r="C146" s="5">
        <v>43565.183270000001</v>
      </c>
      <c r="D146" s="5">
        <v>13055.28112</v>
      </c>
      <c r="E146" s="5">
        <v>11839.690850000001</v>
      </c>
      <c r="F146" s="5">
        <v>10742.40785</v>
      </c>
    </row>
    <row r="147" spans="1:6" x14ac:dyDescent="0.75">
      <c r="A147" s="9">
        <v>44075</v>
      </c>
      <c r="B147" s="5">
        <v>1762518.19</v>
      </c>
      <c r="C147" s="5">
        <v>43933.093549999998</v>
      </c>
      <c r="D147" s="5">
        <v>13956.17657</v>
      </c>
      <c r="E147" s="5">
        <v>12883.22862</v>
      </c>
      <c r="F147" s="5">
        <v>11570.10477</v>
      </c>
    </row>
    <row r="148" spans="1:6" x14ac:dyDescent="0.75">
      <c r="A148" s="9">
        <v>44105</v>
      </c>
      <c r="B148" s="5">
        <v>1735681.59</v>
      </c>
      <c r="C148" s="5">
        <v>47117.842850000001</v>
      </c>
      <c r="D148" s="5">
        <v>14363.44325</v>
      </c>
      <c r="E148" s="5">
        <v>12091.54651</v>
      </c>
      <c r="F148" s="5">
        <v>10786.016680000001</v>
      </c>
    </row>
    <row r="149" spans="1:6" x14ac:dyDescent="0.75">
      <c r="A149" s="9">
        <v>44136</v>
      </c>
      <c r="B149" s="5">
        <v>1665859.3</v>
      </c>
      <c r="C149" s="5">
        <v>53282.636839999999</v>
      </c>
      <c r="D149" s="5">
        <v>15258.422039999999</v>
      </c>
      <c r="E149" s="5">
        <v>12137.14955</v>
      </c>
      <c r="F149" s="5">
        <v>12664.41419</v>
      </c>
    </row>
    <row r="150" spans="1:6" x14ac:dyDescent="0.75">
      <c r="A150" s="9">
        <v>44166</v>
      </c>
      <c r="B150" s="5">
        <v>1711187.15</v>
      </c>
      <c r="C150" s="5">
        <v>57272.738270000002</v>
      </c>
      <c r="D150" s="5">
        <v>16539.555059999999</v>
      </c>
      <c r="E150" s="5">
        <v>15330.669379999999</v>
      </c>
      <c r="F150" s="5">
        <v>14438.37608</v>
      </c>
    </row>
    <row r="151" spans="1:6" x14ac:dyDescent="0.75">
      <c r="A151" s="9">
        <v>44197</v>
      </c>
      <c r="B151" s="5">
        <v>1751525.1769999999</v>
      </c>
      <c r="C151" s="5">
        <v>52587.516519999997</v>
      </c>
      <c r="D151" s="5">
        <v>15293.7</v>
      </c>
      <c r="E151" s="5">
        <v>13078.33281</v>
      </c>
      <c r="F151" s="5">
        <v>13329.901019999999</v>
      </c>
    </row>
    <row r="152" spans="1:6" x14ac:dyDescent="0.75">
      <c r="A152" s="9">
        <v>44228</v>
      </c>
      <c r="B152" s="5">
        <v>1776324.773</v>
      </c>
      <c r="C152" s="5">
        <v>47637.06998</v>
      </c>
      <c r="D152" s="5">
        <v>15256.1</v>
      </c>
      <c r="E152" s="5">
        <v>12378.562389999999</v>
      </c>
      <c r="F152" s="5">
        <v>13264.974630000001</v>
      </c>
    </row>
    <row r="153" spans="1:6" x14ac:dyDescent="0.75">
      <c r="A153" s="9">
        <v>44256</v>
      </c>
      <c r="B153" s="5">
        <v>1803430.932</v>
      </c>
      <c r="C153" s="5">
        <v>50554.093670000002</v>
      </c>
      <c r="D153" s="5">
        <v>18354.5</v>
      </c>
      <c r="E153" s="5">
        <v>17281.282070000001</v>
      </c>
      <c r="F153" s="5">
        <v>16787.511490000001</v>
      </c>
    </row>
    <row r="154" spans="1:6" x14ac:dyDescent="0.75">
      <c r="A154" s="9">
        <v>44287</v>
      </c>
      <c r="B154" s="5">
        <v>1821782.81</v>
      </c>
      <c r="C154" s="5">
        <v>49177.085749999998</v>
      </c>
      <c r="D154" s="5">
        <v>18490.7</v>
      </c>
      <c r="E154" s="5">
        <v>15359.269120000001</v>
      </c>
      <c r="F154" s="5">
        <v>16204.338760000001</v>
      </c>
    </row>
    <row r="155" spans="1:6" x14ac:dyDescent="0.75">
      <c r="A155" s="9">
        <v>44317</v>
      </c>
      <c r="B155" s="5">
        <v>1765827.483</v>
      </c>
      <c r="C155" s="5">
        <v>51869.913809999998</v>
      </c>
      <c r="D155" s="5">
        <v>16932.900000000001</v>
      </c>
      <c r="E155" s="5">
        <v>14590.55672</v>
      </c>
      <c r="F155" s="5">
        <v>14234.815280000001</v>
      </c>
    </row>
    <row r="156" spans="1:6" x14ac:dyDescent="0.75">
      <c r="A156" s="9">
        <v>44348</v>
      </c>
      <c r="B156" s="5">
        <v>1809371.7180000001</v>
      </c>
      <c r="C156" s="5">
        <v>52777.314330000001</v>
      </c>
      <c r="D156" s="5">
        <v>18542.400000000001</v>
      </c>
      <c r="E156" s="5">
        <v>15690.996580000001</v>
      </c>
      <c r="F156" s="5">
        <v>17218.457480000001</v>
      </c>
    </row>
    <row r="157" spans="1:6" x14ac:dyDescent="0.75">
      <c r="A157" s="9">
        <v>44378</v>
      </c>
      <c r="B157" s="5">
        <v>1799134.054</v>
      </c>
      <c r="C157" s="5">
        <v>55348.303890000003</v>
      </c>
      <c r="D157" s="5">
        <v>17713.099999999999</v>
      </c>
      <c r="E157" s="5">
        <v>13883.775439999999</v>
      </c>
      <c r="F157" s="5">
        <v>15263.122649999999</v>
      </c>
    </row>
    <row r="158" spans="1:6" x14ac:dyDescent="0.75">
      <c r="A158" s="9">
        <v>44409</v>
      </c>
      <c r="B158" s="5">
        <v>1841761.4480000001</v>
      </c>
      <c r="C158" s="5">
        <v>54530.471649999999</v>
      </c>
      <c r="D158" s="5">
        <v>23099.8</v>
      </c>
      <c r="E158" s="5">
        <v>14120.443590000001</v>
      </c>
      <c r="F158" s="5">
        <v>16678.886849999999</v>
      </c>
    </row>
    <row r="159" spans="1:6" x14ac:dyDescent="0.75">
      <c r="A159" s="9">
        <v>44440</v>
      </c>
      <c r="B159" s="5">
        <v>1851331.4850000001</v>
      </c>
      <c r="C159" s="5">
        <v>50939.054660000002</v>
      </c>
      <c r="D159" s="5">
        <v>20605.599999999999</v>
      </c>
      <c r="E159" s="5">
        <v>14418.83034</v>
      </c>
      <c r="F159" s="5">
        <v>16234.148590000001</v>
      </c>
    </row>
    <row r="160" spans="1:6" x14ac:dyDescent="0.75">
      <c r="A160" s="9">
        <v>44470</v>
      </c>
      <c r="B160" s="5">
        <v>1834568.3259999999</v>
      </c>
      <c r="C160" s="5">
        <v>56524.366139999998</v>
      </c>
      <c r="D160" s="5">
        <v>22029.7</v>
      </c>
      <c r="E160" s="5">
        <v>14909.27504</v>
      </c>
      <c r="F160" s="5">
        <v>16293.61609</v>
      </c>
    </row>
    <row r="161" spans="1:6" x14ac:dyDescent="0.75">
      <c r="A161" s="9">
        <v>44501</v>
      </c>
      <c r="B161" s="5">
        <v>1842187.632</v>
      </c>
      <c r="C161" s="5">
        <v>50304.01412</v>
      </c>
      <c r="D161" s="5">
        <v>22844.400000000001</v>
      </c>
      <c r="E161" s="5">
        <v>15208.909</v>
      </c>
      <c r="F161" s="5">
        <v>19328.18808</v>
      </c>
    </row>
    <row r="162" spans="1:6" x14ac:dyDescent="0.75">
      <c r="A162" s="9">
        <v>44531</v>
      </c>
      <c r="B162" s="5">
        <v>1809680.4269999999</v>
      </c>
      <c r="C162" s="5">
        <v>50225.732459999999</v>
      </c>
      <c r="D162" s="5">
        <v>22359.599999999999</v>
      </c>
      <c r="E162" s="5">
        <v>17367.17237</v>
      </c>
      <c r="F162" s="5">
        <v>21352.01816</v>
      </c>
    </row>
    <row r="163" spans="1:6" x14ac:dyDescent="0.75">
      <c r="A163" s="9">
        <v>44562</v>
      </c>
      <c r="B163" s="5">
        <v>1782609.16</v>
      </c>
      <c r="C163" s="5">
        <v>27176.531459999998</v>
      </c>
      <c r="D163" s="5">
        <v>19143.2</v>
      </c>
      <c r="E163" s="5">
        <v>12525.3884</v>
      </c>
      <c r="F163" s="5">
        <v>18211.103490000001</v>
      </c>
    </row>
    <row r="164" spans="1:6" x14ac:dyDescent="0.75">
      <c r="A164" s="9">
        <v>44593</v>
      </c>
      <c r="B164" s="5">
        <v>1801305.42</v>
      </c>
      <c r="C164" s="5">
        <v>44630.366470000001</v>
      </c>
      <c r="D164" s="5">
        <v>20489.099999999999</v>
      </c>
      <c r="E164" s="5">
        <v>13643.75454</v>
      </c>
      <c r="F164" s="5">
        <v>16638.51181</v>
      </c>
    </row>
    <row r="165" spans="1:6" x14ac:dyDescent="0.75">
      <c r="A165" s="9">
        <v>44621</v>
      </c>
      <c r="B165" s="5">
        <v>1776927.39</v>
      </c>
      <c r="C165" s="5">
        <v>61009.058929999999</v>
      </c>
      <c r="D165" s="5">
        <v>26586.7</v>
      </c>
      <c r="E165" s="5">
        <v>17890.856390000001</v>
      </c>
      <c r="F165" s="5">
        <v>21962.417649999999</v>
      </c>
    </row>
    <row r="166" spans="1:6" x14ac:dyDescent="0.75">
      <c r="A166" s="9">
        <v>44652</v>
      </c>
      <c r="B166" s="5">
        <v>1742461.79</v>
      </c>
      <c r="C166" s="5">
        <v>55744.554530000001</v>
      </c>
      <c r="D166" s="5">
        <v>27316.2</v>
      </c>
      <c r="E166" s="5">
        <v>15311.99757</v>
      </c>
      <c r="F166" s="5">
        <v>19757.449349999999</v>
      </c>
    </row>
    <row r="167" spans="1:6" x14ac:dyDescent="0.75">
      <c r="A167" s="9">
        <v>44682</v>
      </c>
      <c r="B167" s="5">
        <v>1714258.3</v>
      </c>
      <c r="C167" s="5">
        <v>51078.811690000002</v>
      </c>
      <c r="D167" s="5">
        <v>21493.3</v>
      </c>
      <c r="E167" s="5">
        <v>13695.896140000001</v>
      </c>
      <c r="F167" s="5">
        <v>18609.287100000001</v>
      </c>
    </row>
    <row r="168" spans="1:6" x14ac:dyDescent="0.75">
      <c r="A168" s="9">
        <v>44713</v>
      </c>
      <c r="B168" s="5">
        <v>1779197.24</v>
      </c>
      <c r="C168" s="5">
        <v>55379.269970000001</v>
      </c>
      <c r="D168" s="5">
        <v>26141.047859999999</v>
      </c>
      <c r="E168" s="5">
        <v>15849.2214</v>
      </c>
      <c r="F168" s="5">
        <v>21003.853589999999</v>
      </c>
    </row>
    <row r="169" spans="1:6" x14ac:dyDescent="0.75">
      <c r="A169" s="9">
        <v>44743</v>
      </c>
      <c r="B169" s="5">
        <v>1715686.39</v>
      </c>
      <c r="C169" s="5">
        <v>58873.597979999999</v>
      </c>
      <c r="D169" s="5">
        <v>25473.423790000001</v>
      </c>
      <c r="E169" s="5">
        <v>15106.273520000001</v>
      </c>
      <c r="F169" s="5">
        <v>21345.0304</v>
      </c>
    </row>
    <row r="170" spans="1:6" x14ac:dyDescent="0.75">
      <c r="A170" s="9">
        <v>44774</v>
      </c>
      <c r="B170" s="5">
        <v>1767398.24</v>
      </c>
      <c r="C170" s="5">
        <v>59542.590400000001</v>
      </c>
      <c r="D170" s="5">
        <v>27928.702420000001</v>
      </c>
      <c r="E170" s="5">
        <v>16324.740239999999</v>
      </c>
      <c r="F170" s="5">
        <v>22150.54952</v>
      </c>
    </row>
    <row r="171" spans="1:6" x14ac:dyDescent="0.75">
      <c r="A171" s="9">
        <v>44805</v>
      </c>
      <c r="B171" s="5">
        <v>1753349.29</v>
      </c>
      <c r="C171" s="5">
        <v>60995.692130000003</v>
      </c>
      <c r="D171" s="5">
        <v>24764.5484</v>
      </c>
      <c r="E171" s="5">
        <v>15373.240610000001</v>
      </c>
      <c r="F171" s="5">
        <v>19808.344349999999</v>
      </c>
    </row>
    <row r="172" spans="1:6" x14ac:dyDescent="0.75">
      <c r="A172" s="9">
        <v>44835</v>
      </c>
      <c r="B172" s="5">
        <v>1763959.15</v>
      </c>
      <c r="C172" s="5">
        <v>60949.225780000001</v>
      </c>
      <c r="D172" s="5">
        <v>24726.28788</v>
      </c>
      <c r="E172" s="5">
        <v>15085.178250000001</v>
      </c>
      <c r="F172" s="5">
        <v>19135.352920000001</v>
      </c>
    </row>
    <row r="173" spans="1:6" x14ac:dyDescent="0.75">
      <c r="A173" s="9">
        <v>44866</v>
      </c>
      <c r="B173" s="5">
        <v>1861513.82</v>
      </c>
      <c r="C173" s="5">
        <v>57159.651749999997</v>
      </c>
      <c r="D173" s="5">
        <v>24059.107960000001</v>
      </c>
      <c r="E173" s="5">
        <v>14983.782999999999</v>
      </c>
      <c r="F173" s="5">
        <v>18962.094929999999</v>
      </c>
    </row>
    <row r="174" spans="1:6" x14ac:dyDescent="0.75">
      <c r="A174" s="9">
        <v>44896</v>
      </c>
      <c r="B174" s="5">
        <v>1898132.69</v>
      </c>
      <c r="C174" s="5">
        <v>54788.095309999997</v>
      </c>
      <c r="D174" s="5">
        <v>23782.717779999999</v>
      </c>
      <c r="E174" s="5">
        <v>17445.166399999998</v>
      </c>
      <c r="F174" s="5">
        <v>19863.0615</v>
      </c>
    </row>
    <row r="175" spans="1:6" x14ac:dyDescent="0.75">
      <c r="A175" s="9">
        <v>44927</v>
      </c>
      <c r="B175" s="5">
        <v>1899555.7180000001</v>
      </c>
      <c r="C175" s="5">
        <v>51412.618280000002</v>
      </c>
      <c r="D175" s="5">
        <v>22323.843850000001</v>
      </c>
      <c r="E175" s="5">
        <v>15297.835520000001</v>
      </c>
      <c r="F175" s="5">
        <v>18442.93363</v>
      </c>
    </row>
    <row r="176" spans="1:6" x14ac:dyDescent="0.75">
      <c r="A176" s="9">
        <v>44958</v>
      </c>
      <c r="B176" s="5">
        <v>1927834.7220000001</v>
      </c>
      <c r="C176" s="5">
        <v>53158.10744</v>
      </c>
      <c r="D176" s="5">
        <v>21321.27549</v>
      </c>
      <c r="E176" s="5">
        <v>13357.927309999999</v>
      </c>
      <c r="F176" s="5">
        <v>15919.168180000001</v>
      </c>
    </row>
    <row r="177" spans="1:6" x14ac:dyDescent="0.75">
      <c r="A177" s="9">
        <v>44986</v>
      </c>
      <c r="B177" s="5">
        <v>1952710.629</v>
      </c>
      <c r="C177" s="5">
        <v>63960.402419999999</v>
      </c>
      <c r="D177" s="5">
        <v>23415.993729999998</v>
      </c>
      <c r="E177" s="5">
        <v>17338.475869999998</v>
      </c>
      <c r="F177" s="5">
        <v>20588.052909999999</v>
      </c>
    </row>
    <row r="178" spans="1:6" x14ac:dyDescent="0.75">
      <c r="A178" s="9">
        <v>45017</v>
      </c>
      <c r="B178" s="5">
        <v>1933821.8570000001</v>
      </c>
      <c r="C178" s="5">
        <v>56188.259180000001</v>
      </c>
      <c r="D178" s="5">
        <v>19284.075120000001</v>
      </c>
      <c r="E178" s="5">
        <v>13898.78707</v>
      </c>
      <c r="F178" s="5">
        <v>15347.61031</v>
      </c>
    </row>
    <row r="179" spans="1:6" x14ac:dyDescent="0.75">
      <c r="A179" s="9">
        <v>45047</v>
      </c>
      <c r="B179" s="5">
        <v>1872335.8829999999</v>
      </c>
      <c r="C179" s="5">
        <v>57280.672740000002</v>
      </c>
      <c r="D179" s="5">
        <v>21706.83352</v>
      </c>
      <c r="E179" s="5">
        <v>18769.39747</v>
      </c>
      <c r="F179" s="5">
        <v>21279.594700000001</v>
      </c>
    </row>
    <row r="180" spans="1:6" x14ac:dyDescent="0.75">
      <c r="A180" s="9">
        <v>45078</v>
      </c>
      <c r="B180" s="5">
        <v>1834567.436</v>
      </c>
      <c r="C180" s="5">
        <v>54152.042849999998</v>
      </c>
      <c r="D180" s="5">
        <v>20599</v>
      </c>
      <c r="E180" s="5">
        <v>14685.413909999999</v>
      </c>
      <c r="F180" s="5">
        <v>17150.491040000001</v>
      </c>
    </row>
    <row r="181" spans="1:6" x14ac:dyDescent="0.75">
      <c r="A181" s="9">
        <v>45108</v>
      </c>
      <c r="B181" s="5">
        <v>1870810.861</v>
      </c>
      <c r="C181" s="5">
        <v>58790.388800000001</v>
      </c>
      <c r="D181" s="5">
        <v>20861.3</v>
      </c>
      <c r="E181" s="5">
        <v>18123.775389999999</v>
      </c>
      <c r="F181" s="5">
        <v>19570.341130000001</v>
      </c>
    </row>
    <row r="182" spans="1:6" x14ac:dyDescent="0.75">
      <c r="A182" s="9">
        <v>45139</v>
      </c>
      <c r="B182" s="5">
        <v>1850135.1950000001</v>
      </c>
      <c r="C182" s="5">
        <v>57405.449589999997</v>
      </c>
      <c r="D182" s="5">
        <v>21996.3</v>
      </c>
      <c r="E182" s="5">
        <v>16233.64164</v>
      </c>
      <c r="F182" s="5">
        <v>18879.826410000001</v>
      </c>
    </row>
    <row r="183" spans="1:6" x14ac:dyDescent="0.75">
      <c r="A183" s="9">
        <v>45170</v>
      </c>
      <c r="B183" s="5">
        <v>1858540.173</v>
      </c>
      <c r="C183" s="5">
        <v>56007.964139999996</v>
      </c>
      <c r="D183" s="5">
        <v>20744.900000000001</v>
      </c>
      <c r="E183" s="5">
        <v>15553.016</v>
      </c>
      <c r="F183" s="5">
        <v>17341.608769999999</v>
      </c>
    </row>
    <row r="184" spans="1:6" x14ac:dyDescent="0.75">
      <c r="A184" s="9">
        <v>45200</v>
      </c>
      <c r="B184" s="5">
        <v>1851083.6259999999</v>
      </c>
      <c r="C184" s="5">
        <v>64987.897700000001</v>
      </c>
      <c r="D184" s="5">
        <v>22144.5</v>
      </c>
      <c r="E184" s="5">
        <v>16166.599759999999</v>
      </c>
      <c r="F184" s="5">
        <v>18672.91013</v>
      </c>
    </row>
    <row r="185" spans="1:6" x14ac:dyDescent="0.75">
      <c r="A185" s="9">
        <v>45231</v>
      </c>
      <c r="B185" s="5">
        <v>1867816.0020000001</v>
      </c>
      <c r="C185" s="5">
        <v>63544.883629999997</v>
      </c>
      <c r="D185" s="5">
        <v>21995.9</v>
      </c>
      <c r="E185" s="5">
        <v>18348.464670000001</v>
      </c>
      <c r="F185" s="5">
        <v>19586.546859999999</v>
      </c>
    </row>
    <row r="186" spans="1:6" x14ac:dyDescent="0.75">
      <c r="A186" s="9">
        <v>45261</v>
      </c>
      <c r="B186" s="5">
        <v>1967180.108</v>
      </c>
      <c r="C186" s="5">
        <v>65137.978759999998</v>
      </c>
      <c r="D186" s="5">
        <v>22391.3</v>
      </c>
      <c r="E186" s="5">
        <v>20198.946619999999</v>
      </c>
      <c r="F186" s="5">
        <v>19107.099999999999</v>
      </c>
    </row>
    <row r="187" spans="1:6" x14ac:dyDescent="0.75">
      <c r="A187" s="9">
        <v>45292</v>
      </c>
      <c r="B187" s="5">
        <v>1989998.9580000001</v>
      </c>
      <c r="C187" s="5">
        <v>55766.965980000001</v>
      </c>
      <c r="D187" s="5">
        <v>20569.758829999999</v>
      </c>
      <c r="E187" s="5">
        <v>17241.941439999999</v>
      </c>
      <c r="F187" s="5">
        <v>18587.300080000001</v>
      </c>
    </row>
    <row r="188" spans="1:6" x14ac:dyDescent="0.75">
      <c r="A188" s="9">
        <v>45323</v>
      </c>
      <c r="B188" s="5">
        <v>1972198.5989999999</v>
      </c>
      <c r="C188" s="5">
        <v>57430.187639999996</v>
      </c>
      <c r="D188" s="5">
        <v>19348.6607</v>
      </c>
      <c r="E188" s="5">
        <v>17318.08611</v>
      </c>
      <c r="F188" s="5">
        <v>18507.74425</v>
      </c>
    </row>
    <row r="189" spans="1:6" x14ac:dyDescent="0.75">
      <c r="A189" s="9">
        <v>45352</v>
      </c>
      <c r="B189" s="5">
        <v>1930697.906</v>
      </c>
      <c r="C189" s="5">
        <v>61158.836940000001</v>
      </c>
      <c r="D189" s="5">
        <v>22619.99999</v>
      </c>
      <c r="E189" s="5">
        <v>18056.631010000001</v>
      </c>
      <c r="F189" s="5">
        <v>18017.781050000001</v>
      </c>
    </row>
    <row r="190" spans="1:6" x14ac:dyDescent="0.75">
      <c r="A190" s="9">
        <v>45383</v>
      </c>
      <c r="B190" s="5">
        <v>1912538.882</v>
      </c>
      <c r="C190" s="5">
        <v>58307.87659</v>
      </c>
      <c r="D190" s="5">
        <v>19693.2853</v>
      </c>
      <c r="E190" s="5">
        <v>17212.397959999998</v>
      </c>
      <c r="F190" s="5">
        <v>16993.622439999999</v>
      </c>
    </row>
    <row r="191" spans="1:6" x14ac:dyDescent="0.75">
      <c r="A191" s="9">
        <v>45413</v>
      </c>
      <c r="B191" s="5">
        <v>1882645.601</v>
      </c>
      <c r="C191" s="5">
        <v>61090.520190000003</v>
      </c>
      <c r="D191" s="5">
        <v>22441.978370000001</v>
      </c>
      <c r="E191" s="5">
        <v>19173.266189999998</v>
      </c>
      <c r="F191" s="5">
        <v>19505.23402</v>
      </c>
    </row>
    <row r="192" spans="1:6" x14ac:dyDescent="0.75">
      <c r="A192" s="9">
        <v>45444</v>
      </c>
      <c r="B192" s="5">
        <v>1891002.1340000001</v>
      </c>
      <c r="C192" s="5">
        <v>59819.09117</v>
      </c>
      <c r="D192" s="5">
        <v>21058.25174</v>
      </c>
      <c r="E192" s="5">
        <v>18449.011020000002</v>
      </c>
      <c r="F192" s="5">
        <v>18539.345860000001</v>
      </c>
    </row>
    <row r="193" spans="1:15" x14ac:dyDescent="0.75">
      <c r="A193" s="9">
        <v>45474</v>
      </c>
      <c r="B193" s="5">
        <v>1868086.003</v>
      </c>
      <c r="C193" s="5">
        <v>59835.106310000003</v>
      </c>
      <c r="D193" s="5">
        <v>22526.84403</v>
      </c>
      <c r="E193" s="5">
        <v>22387.272120000001</v>
      </c>
      <c r="F193" s="5">
        <v>21855.576649999999</v>
      </c>
    </row>
    <row r="194" spans="1:15" x14ac:dyDescent="0.75">
      <c r="A194" s="9">
        <v>45505</v>
      </c>
      <c r="B194" s="5">
        <v>1828891.632</v>
      </c>
      <c r="C194" s="5">
        <v>61851.556510000002</v>
      </c>
      <c r="D194" s="5">
        <v>23598.546470000001</v>
      </c>
      <c r="E194" s="5">
        <v>20482.685939999999</v>
      </c>
      <c r="F194" s="5">
        <v>20843.431550000001</v>
      </c>
    </row>
    <row r="195" spans="1:15" x14ac:dyDescent="0.75">
      <c r="A195" s="9">
        <v>45536</v>
      </c>
      <c r="B195" s="5">
        <v>1852215.416</v>
      </c>
      <c r="C195" s="5">
        <v>62787.790789999999</v>
      </c>
      <c r="D195" s="5">
        <v>22150.740409999999</v>
      </c>
      <c r="E195" s="5">
        <v>18686.32951</v>
      </c>
      <c r="F195" s="5">
        <v>18974.042440000001</v>
      </c>
    </row>
    <row r="196" spans="1:15" x14ac:dyDescent="0.75">
      <c r="A196" s="9">
        <v>45566</v>
      </c>
      <c r="B196" s="5">
        <v>1880146.764</v>
      </c>
      <c r="C196" s="5">
        <v>68307.384409999999</v>
      </c>
      <c r="D196" s="5">
        <v>24808.799999999999</v>
      </c>
      <c r="E196" s="5">
        <v>22609.461869999999</v>
      </c>
      <c r="F196" s="5">
        <v>22097.8</v>
      </c>
    </row>
    <row r="197" spans="1:15" x14ac:dyDescent="0.75">
      <c r="A197" s="9">
        <v>45597</v>
      </c>
      <c r="B197" s="5">
        <v>1887324.561</v>
      </c>
      <c r="C197" s="5">
        <v>66143.510630000004</v>
      </c>
      <c r="D197" s="5">
        <v>24112.7</v>
      </c>
      <c r="E197" s="5">
        <v>19556.757689999999</v>
      </c>
      <c r="F197" s="5">
        <v>19768.308219999999</v>
      </c>
    </row>
    <row r="198" spans="1:15" x14ac:dyDescent="0.75">
      <c r="A198" s="9">
        <v>45627</v>
      </c>
      <c r="B198" s="5">
        <v>1982700.8470000001</v>
      </c>
      <c r="C198" s="5">
        <v>66980.366129999995</v>
      </c>
      <c r="D198" s="5">
        <v>23599.591499999999</v>
      </c>
      <c r="E198" s="5">
        <v>20880.519550000001</v>
      </c>
      <c r="F198" s="5">
        <v>21509.385470000001</v>
      </c>
    </row>
    <row r="199" spans="1:15" x14ac:dyDescent="0.75">
      <c r="A199" s="9">
        <v>45658</v>
      </c>
      <c r="B199" s="5">
        <v>2038511.1240000001</v>
      </c>
      <c r="C199" s="5">
        <v>55251.960079999997</v>
      </c>
      <c r="D199" s="5">
        <v>21428.28285</v>
      </c>
      <c r="E199" s="5">
        <v>15659.37996</v>
      </c>
      <c r="F199" s="5">
        <v>17935.915420000001</v>
      </c>
    </row>
    <row r="200" spans="1:15" x14ac:dyDescent="0.75">
      <c r="A200" s="9">
        <v>45689</v>
      </c>
      <c r="B200" s="5">
        <v>2053525.6939999999</v>
      </c>
      <c r="C200" s="5">
        <v>56618.839070000002</v>
      </c>
      <c r="D200" s="5">
        <v>21944.18017</v>
      </c>
      <c r="E200" s="5">
        <v>20145.420529999999</v>
      </c>
      <c r="F200" s="5">
        <v>18848.999599999999</v>
      </c>
    </row>
    <row r="201" spans="1:15" x14ac:dyDescent="0.75">
      <c r="A201" s="9">
        <v>45717</v>
      </c>
      <c r="B201" s="5">
        <v>2046562.9480000001</v>
      </c>
      <c r="C201" s="5">
        <v>57648.12543</v>
      </c>
      <c r="D201" s="5">
        <v>23247.262500000001</v>
      </c>
      <c r="E201" s="5">
        <v>19002.411110000001</v>
      </c>
      <c r="F201" s="5">
        <v>18919.977910000001</v>
      </c>
    </row>
    <row r="202" spans="1:15" x14ac:dyDescent="0.75">
      <c r="A202" s="9">
        <v>45748</v>
      </c>
      <c r="B202" s="5">
        <v>1980073.432</v>
      </c>
      <c r="C202" s="5">
        <v>53282.379059999999</v>
      </c>
      <c r="D202" s="5">
        <v>20743.846939999999</v>
      </c>
      <c r="E202" s="5">
        <v>18535.373360000001</v>
      </c>
      <c r="F202" s="5">
        <v>20585.01427</v>
      </c>
    </row>
    <row r="203" spans="1:15" x14ac:dyDescent="0.75">
      <c r="A203" s="9">
        <v>45778</v>
      </c>
      <c r="B203" s="5">
        <v>1955415.51</v>
      </c>
      <c r="C203" s="5">
        <v>59121.870540000004</v>
      </c>
      <c r="D203" s="5">
        <v>24613.800879999999</v>
      </c>
      <c r="E203" s="5">
        <v>20346.860189999999</v>
      </c>
      <c r="F203" s="5">
        <v>20312.30012</v>
      </c>
      <c r="J203" s="5">
        <f t="shared" ref="J203" si="1">B203/B191*100-100</f>
        <v>3.8653004559831743</v>
      </c>
      <c r="K203" s="5">
        <f t="shared" ref="K203" si="2">C203/C191*100-100</f>
        <v>-3.2225125009203168</v>
      </c>
      <c r="L203" s="5">
        <f t="shared" ref="L203" si="3">D203/D191*100-100</f>
        <v>9.6775002372484664</v>
      </c>
      <c r="M203" s="5">
        <f t="shared" ref="M203" si="4">E203/E191*100-100</f>
        <v>6.1209915325334663</v>
      </c>
      <c r="N203" s="5">
        <f t="shared" ref="N203" si="5">F203/F191*100-100</f>
        <v>4.1376899101669835</v>
      </c>
      <c r="O203" s="16">
        <f t="shared" ref="O203:O212" si="6">D203-F203</f>
        <v>4301.500759999999</v>
      </c>
    </row>
    <row r="204" spans="1:15" x14ac:dyDescent="0.75">
      <c r="A204" s="9">
        <v>45809</v>
      </c>
      <c r="B204" s="5">
        <v>1964883.7080000001</v>
      </c>
      <c r="C204" s="5">
        <v>52350.06293</v>
      </c>
      <c r="D204" s="5">
        <v>23436.5</v>
      </c>
      <c r="E204" s="5">
        <v>20416.127960000002</v>
      </c>
      <c r="F204" s="5">
        <v>19333</v>
      </c>
      <c r="J204" s="5">
        <f t="shared" ref="J204:J213" si="7">B204/B192*100-100</f>
        <v>3.9070063788727509</v>
      </c>
      <c r="K204" s="5">
        <f t="shared" ref="K204:K213" si="8">C204/C192*100-100</f>
        <v>-12.486027610773547</v>
      </c>
      <c r="L204" s="5">
        <f t="shared" ref="L204:L213" si="9">D204/D192*100-100</f>
        <v>11.293664304917272</v>
      </c>
      <c r="M204" s="5">
        <f t="shared" ref="M204:M213" si="10">E204/E192*100-100</f>
        <v>10.662451975704883</v>
      </c>
      <c r="N204" s="5">
        <f t="shared" ref="N204:N213" si="11">F204/F192*100-100</f>
        <v>4.2809177087114136</v>
      </c>
      <c r="O204" s="16">
        <f t="shared" si="6"/>
        <v>4103.5</v>
      </c>
    </row>
    <row r="205" spans="1:15" x14ac:dyDescent="0.75">
      <c r="A205" s="9">
        <v>45839</v>
      </c>
      <c r="B205" s="5">
        <v>2004123.101</v>
      </c>
      <c r="C205" s="5">
        <v>58900.106140000004</v>
      </c>
      <c r="D205" s="5">
        <v>24748.9</v>
      </c>
      <c r="E205" s="5">
        <v>19909.395280000001</v>
      </c>
      <c r="F205" s="5">
        <v>20575.400000000001</v>
      </c>
      <c r="J205" s="5">
        <f t="shared" si="7"/>
        <v>7.2821646209829254</v>
      </c>
      <c r="K205" s="5">
        <f t="shared" si="8"/>
        <v>-1.5626280751568373</v>
      </c>
      <c r="L205" s="5">
        <f t="shared" si="9"/>
        <v>9.8640358455928805</v>
      </c>
      <c r="M205" s="5">
        <f t="shared" si="10"/>
        <v>-11.068239250937381</v>
      </c>
      <c r="N205" s="5">
        <f t="shared" si="11"/>
        <v>-5.8574370765916086</v>
      </c>
      <c r="O205" s="16">
        <f t="shared" si="6"/>
        <v>4173.5</v>
      </c>
    </row>
    <row r="206" spans="1:15" x14ac:dyDescent="0.75">
      <c r="A206" s="9">
        <v>45870</v>
      </c>
      <c r="B206" s="5">
        <v>2024902.6540000001</v>
      </c>
      <c r="C206" s="5">
        <v>66826.193100000004</v>
      </c>
      <c r="D206" s="5">
        <v>24963.200000000001</v>
      </c>
      <c r="E206" s="5">
        <v>19944.279989999999</v>
      </c>
      <c r="F206" s="5">
        <v>19475.2</v>
      </c>
      <c r="J206" s="5">
        <f t="shared" si="7"/>
        <v>10.717476015003172</v>
      </c>
      <c r="K206" s="5">
        <f t="shared" si="8"/>
        <v>8.0428640291303282</v>
      </c>
      <c r="L206" s="5">
        <f t="shared" si="9"/>
        <v>5.7827863751474382</v>
      </c>
      <c r="M206" s="5">
        <f t="shared" si="10"/>
        <v>-2.6285905646220158</v>
      </c>
      <c r="N206" s="5">
        <f t="shared" si="11"/>
        <v>-6.5643296149092976</v>
      </c>
      <c r="O206" s="16">
        <f t="shared" si="6"/>
        <v>5488</v>
      </c>
    </row>
    <row r="207" spans="1:15" x14ac:dyDescent="0.75">
      <c r="A207" s="9">
        <v>45901</v>
      </c>
      <c r="B207" s="5">
        <v>2085339.8219999999</v>
      </c>
      <c r="C207" s="5">
        <v>62146.111519999999</v>
      </c>
      <c r="D207" s="5">
        <v>24679.1</v>
      </c>
      <c r="E207" s="5">
        <v>21220.786660000002</v>
      </c>
      <c r="F207" s="5">
        <v>20335.3</v>
      </c>
      <c r="J207" s="5">
        <f t="shared" si="7"/>
        <v>12.586246933601799</v>
      </c>
      <c r="K207" s="5">
        <f t="shared" si="8"/>
        <v>-1.021980964653082</v>
      </c>
      <c r="L207" s="5">
        <f t="shared" si="9"/>
        <v>11.41433443397932</v>
      </c>
      <c r="M207" s="5">
        <f t="shared" si="10"/>
        <v>13.563162035881277</v>
      </c>
      <c r="N207" s="5">
        <f t="shared" si="11"/>
        <v>7.1743149321215469</v>
      </c>
      <c r="O207" s="16">
        <f t="shared" si="6"/>
        <v>4343.7999999999993</v>
      </c>
    </row>
    <row r="208" spans="1:15" x14ac:dyDescent="0.75">
      <c r="A208" s="9">
        <v>45931</v>
      </c>
      <c r="B208" s="5">
        <v>2074759.3910000001</v>
      </c>
      <c r="C208" s="5">
        <v>64917.817569999999</v>
      </c>
      <c r="D208" s="5">
        <v>24236.3</v>
      </c>
      <c r="E208" s="5">
        <v>23149.73071</v>
      </c>
      <c r="F208" s="5">
        <v>21843.1</v>
      </c>
      <c r="J208" s="5">
        <f t="shared" si="7"/>
        <v>10.35092742366362</v>
      </c>
      <c r="K208" s="5">
        <f t="shared" si="8"/>
        <v>-4.9622260744971243</v>
      </c>
      <c r="L208" s="5">
        <f t="shared" si="9"/>
        <v>-2.3076488987778419</v>
      </c>
      <c r="M208" s="5">
        <f t="shared" si="10"/>
        <v>2.3895696549809173</v>
      </c>
      <c r="N208" s="5">
        <f t="shared" si="11"/>
        <v>-1.1526034265854577</v>
      </c>
      <c r="O208" s="16">
        <f t="shared" si="6"/>
        <v>2393.2000000000007</v>
      </c>
    </row>
    <row r="209" spans="1:17" x14ac:dyDescent="0.75">
      <c r="A209" s="9">
        <v>45962</v>
      </c>
      <c r="B209" s="5">
        <v>2070716.88</v>
      </c>
      <c r="C209" s="5">
        <v>64834.716139999997</v>
      </c>
      <c r="D209" s="5">
        <v>22520.799999999999</v>
      </c>
      <c r="E209" s="5">
        <v>19922.855189999998</v>
      </c>
      <c r="F209" s="5">
        <v>19858.48803</v>
      </c>
      <c r="J209" s="5">
        <f t="shared" si="7"/>
        <v>9.7170525297900667</v>
      </c>
      <c r="K209" s="5">
        <f t="shared" si="8"/>
        <v>-1.9787194201427667</v>
      </c>
      <c r="L209" s="5">
        <f t="shared" si="9"/>
        <v>-6.6019151733319035</v>
      </c>
      <c r="M209" s="5">
        <f t="shared" si="10"/>
        <v>1.8719744131574316</v>
      </c>
      <c r="N209" s="5">
        <f t="shared" si="11"/>
        <v>0.4561837512669058</v>
      </c>
      <c r="O209" s="16">
        <f t="shared" si="6"/>
        <v>2662.3119699999988</v>
      </c>
    </row>
    <row r="210" spans="1:17" x14ac:dyDescent="0.75">
      <c r="A210" s="9">
        <v>45992</v>
      </c>
      <c r="B210" s="5">
        <v>2158916.3990000002</v>
      </c>
      <c r="C210" s="5">
        <v>70872.636299999998</v>
      </c>
      <c r="D210" s="5">
        <v>26346.799999999999</v>
      </c>
      <c r="E210" s="5">
        <v>24662.457880000002</v>
      </c>
      <c r="F210" s="5">
        <v>23834.055</v>
      </c>
      <c r="J210" s="5">
        <f t="shared" si="7"/>
        <v>8.8876520261051724</v>
      </c>
      <c r="K210" s="5">
        <f t="shared" si="8"/>
        <v>5.8110613525844741</v>
      </c>
      <c r="L210" s="5">
        <f t="shared" si="9"/>
        <v>11.640915479405649</v>
      </c>
      <c r="M210" s="5">
        <f t="shared" si="10"/>
        <v>18.112280783741312</v>
      </c>
      <c r="N210" s="5">
        <f t="shared" si="11"/>
        <v>10.807698496278789</v>
      </c>
      <c r="O210" s="16">
        <f t="shared" si="6"/>
        <v>2512.744999999999</v>
      </c>
    </row>
    <row r="211" spans="1:17" x14ac:dyDescent="0.75">
      <c r="A211" s="9">
        <v>46023</v>
      </c>
      <c r="B211" s="22">
        <v>2151388.9887000001</v>
      </c>
      <c r="C211" s="5">
        <v>56234.158640000001</v>
      </c>
      <c r="D211" s="5">
        <v>22155.7</v>
      </c>
      <c r="E211" s="5">
        <v>19654.170419999999</v>
      </c>
      <c r="F211" s="5">
        <v>21201.350129999999</v>
      </c>
      <c r="J211" s="5">
        <f t="shared" si="7"/>
        <v>5.537269989408216</v>
      </c>
      <c r="K211" s="5">
        <f t="shared" si="8"/>
        <v>1.77767188454105</v>
      </c>
      <c r="L211" s="5">
        <f t="shared" si="9"/>
        <v>3.3946590825405281</v>
      </c>
      <c r="M211" s="5">
        <f t="shared" si="10"/>
        <v>25.510527685031008</v>
      </c>
      <c r="N211" s="5">
        <f t="shared" si="11"/>
        <v>18.206122372537365</v>
      </c>
      <c r="O211" s="16">
        <f t="shared" si="6"/>
        <v>954.34987000000183</v>
      </c>
    </row>
    <row r="212" spans="1:17" x14ac:dyDescent="0.75">
      <c r="A212" s="9">
        <v>46054</v>
      </c>
      <c r="B212" s="22">
        <v>2093675.1305</v>
      </c>
      <c r="C212" s="5">
        <v>52610.174509999997</v>
      </c>
      <c r="D212" s="5">
        <v>22166.799999999999</v>
      </c>
      <c r="E212" s="5">
        <v>19686.70161</v>
      </c>
      <c r="F212" s="5">
        <v>20893.549070000001</v>
      </c>
      <c r="J212" s="5">
        <f t="shared" si="7"/>
        <v>1.9551465373581038</v>
      </c>
      <c r="K212" s="5">
        <f t="shared" si="8"/>
        <v>-7.0800896412657579</v>
      </c>
      <c r="L212" s="5">
        <f t="shared" si="9"/>
        <v>1.0144823286875067</v>
      </c>
      <c r="M212" s="5">
        <f t="shared" si="10"/>
        <v>-2.2770381949430458</v>
      </c>
      <c r="N212" s="5">
        <f t="shared" si="11"/>
        <v>10.84699195388599</v>
      </c>
      <c r="O212" s="16">
        <f t="shared" si="6"/>
        <v>1273.2509299999983</v>
      </c>
    </row>
    <row r="213" spans="1:17" x14ac:dyDescent="0.75">
      <c r="A213" s="9">
        <v>46082</v>
      </c>
      <c r="B213" s="22">
        <v>2102220.3394999998</v>
      </c>
      <c r="C213" s="22">
        <v>53892.528425329998</v>
      </c>
      <c r="D213" s="22">
        <v>22526.787923259999</v>
      </c>
      <c r="E213" s="22">
        <v>21168.349918619999</v>
      </c>
      <c r="F213" s="22">
        <v>19205.782821780002</v>
      </c>
      <c r="J213" s="5">
        <f t="shared" si="7"/>
        <v>2.7195543413111665</v>
      </c>
      <c r="K213" s="5">
        <f t="shared" si="8"/>
        <v>-6.5146905934179671</v>
      </c>
      <c r="L213" s="5">
        <f t="shared" si="9"/>
        <v>-3.099180287313402</v>
      </c>
      <c r="M213" s="5">
        <f t="shared" si="10"/>
        <v>11.398231498529015</v>
      </c>
      <c r="N213" s="5">
        <f t="shared" si="11"/>
        <v>1.5105985490022249</v>
      </c>
      <c r="O213" s="16">
        <f>D213-F213</f>
        <v>3321.0051014799974</v>
      </c>
    </row>
    <row r="214" spans="1:17" x14ac:dyDescent="0.75">
      <c r="A214" s="9">
        <v>46113</v>
      </c>
      <c r="B214" s="22">
        <v>2052493.0660000001</v>
      </c>
      <c r="C214" s="22">
        <v>53744.114069310002</v>
      </c>
      <c r="D214" s="22">
        <v>25302.804925299999</v>
      </c>
      <c r="E214" s="22">
        <v>26398.289369419999</v>
      </c>
      <c r="F214" s="22">
        <v>25213.707705479999</v>
      </c>
      <c r="G214" s="18"/>
      <c r="J214" s="5">
        <f>B214/B202*100-100</f>
        <v>3.6574216304115339</v>
      </c>
      <c r="K214" s="5">
        <f t="shared" ref="K214:N217" si="12">C214/C202*100-100</f>
        <v>0.86658106761720433</v>
      </c>
      <c r="L214" s="5">
        <f t="shared" si="12"/>
        <v>21.977398881154684</v>
      </c>
      <c r="M214" s="5">
        <f t="shared" si="12"/>
        <v>42.421136368304587</v>
      </c>
      <c r="N214" s="5">
        <f t="shared" si="12"/>
        <v>22.485743146778987</v>
      </c>
      <c r="O214" s="16">
        <f>D214-F214</f>
        <v>89.097219819999737</v>
      </c>
    </row>
    <row r="215" spans="1:17" x14ac:dyDescent="0.75">
      <c r="A215" s="9">
        <v>46143</v>
      </c>
      <c r="B215" s="22">
        <v>2056280.8503</v>
      </c>
      <c r="C215" s="22">
        <v>54714.277540770003</v>
      </c>
      <c r="D215" s="22">
        <v>23203.496560150001</v>
      </c>
      <c r="E215" s="22">
        <v>22418.37203101</v>
      </c>
      <c r="F215" s="22">
        <v>24813.748390190001</v>
      </c>
      <c r="G215" s="18"/>
      <c r="J215" s="5">
        <f t="shared" ref="J215:J217" si="13">B215/B203*100-100</f>
        <v>5.1582561242955478</v>
      </c>
      <c r="K215" s="5">
        <f t="shared" si="12"/>
        <v>-7.4550973421044944</v>
      </c>
      <c r="L215" s="5">
        <f t="shared" si="12"/>
        <v>-5.729729945918038</v>
      </c>
      <c r="M215" s="5">
        <f t="shared" si="12"/>
        <v>10.18099019537226</v>
      </c>
      <c r="N215" s="5">
        <f t="shared" si="12"/>
        <v>22.161194171002634</v>
      </c>
      <c r="O215" s="16">
        <f t="shared" ref="O215:O219" si="14">D215-F215</f>
        <v>-1610.2518300400006</v>
      </c>
    </row>
    <row r="216" spans="1:17" x14ac:dyDescent="0.75">
      <c r="A216" s="9">
        <v>46174</v>
      </c>
      <c r="B216" s="22">
        <v>1901475.1891999999</v>
      </c>
      <c r="C216" s="22">
        <v>56523.861622910001</v>
      </c>
      <c r="D216" s="22">
        <v>25458.720629449999</v>
      </c>
      <c r="E216" s="22">
        <v>24997.412015540001</v>
      </c>
      <c r="F216" s="22">
        <v>25909.169088279999</v>
      </c>
      <c r="G216" s="18"/>
      <c r="J216" s="5">
        <f>B216/B204*100-100</f>
        <v>-3.2270876155078838</v>
      </c>
      <c r="K216" s="5">
        <f t="shared" si="12"/>
        <v>7.9728627995939689</v>
      </c>
      <c r="L216" s="5">
        <f t="shared" si="12"/>
        <v>8.6285095020587619</v>
      </c>
      <c r="M216" s="5">
        <f t="shared" si="12"/>
        <v>22.439534394160404</v>
      </c>
      <c r="N216" s="5">
        <f t="shared" si="12"/>
        <v>34.015254167899428</v>
      </c>
      <c r="O216" s="16">
        <f t="shared" si="14"/>
        <v>-450.44845883000016</v>
      </c>
      <c r="P216" s="18"/>
    </row>
    <row r="217" spans="1:17" x14ac:dyDescent="0.75">
      <c r="A217" s="9">
        <v>46204</v>
      </c>
      <c r="B217" s="22">
        <v>1882355.2986000001</v>
      </c>
      <c r="C217" s="25">
        <v>55408.83082291</v>
      </c>
      <c r="D217" s="22">
        <v>26216.713650990001</v>
      </c>
      <c r="E217" s="22">
        <v>25969.545760649999</v>
      </c>
      <c r="F217" s="22">
        <v>26094.81028835</v>
      </c>
      <c r="J217" s="5">
        <f t="shared" si="13"/>
        <v>-6.0758644186697524</v>
      </c>
      <c r="K217" s="5">
        <f t="shared" si="12"/>
        <v>-5.9274516565243118</v>
      </c>
      <c r="L217" s="5">
        <f t="shared" si="12"/>
        <v>5.9308237981890102</v>
      </c>
      <c r="M217" s="5">
        <f t="shared" si="12"/>
        <v>30.438646656122842</v>
      </c>
      <c r="N217" s="5">
        <f t="shared" si="12"/>
        <v>26.825287908619018</v>
      </c>
      <c r="O217" s="16">
        <f t="shared" si="14"/>
        <v>121.90336264000143</v>
      </c>
      <c r="P217" s="13"/>
    </row>
    <row r="218" spans="1:17" x14ac:dyDescent="0.75">
      <c r="A218" s="9">
        <v>46235</v>
      </c>
      <c r="B218" s="12">
        <f t="shared" ref="B217:B219" si="15">B206*(1+J218%)</f>
        <v>1866032.3470044103</v>
      </c>
      <c r="C218" s="20">
        <f>C206*(1+K218%)</f>
        <v>87609.139154100005</v>
      </c>
      <c r="D218" s="20">
        <f>D206*(1+L218%)</f>
        <v>26610.771200000003</v>
      </c>
      <c r="E218" s="20">
        <f>E206*(1+M218%)</f>
        <v>22038.42938895</v>
      </c>
      <c r="F218" s="20">
        <f>F206*(1+N218%)</f>
        <v>24382.950400000002</v>
      </c>
      <c r="G218" s="18" t="s">
        <v>38</v>
      </c>
      <c r="H218" s="15" t="s">
        <v>39</v>
      </c>
      <c r="J218" s="12">
        <f>_xlfn.FORECAST.LINEAR(J217,J206:J217,J205:J216)</f>
        <v>-7.8458244242880912</v>
      </c>
      <c r="K218" s="26">
        <v>31.1</v>
      </c>
      <c r="L218" s="26">
        <v>6.6</v>
      </c>
      <c r="M218" s="26">
        <v>10.5</v>
      </c>
      <c r="N218" s="26">
        <v>25.2</v>
      </c>
      <c r="O218" s="16">
        <f t="shared" si="14"/>
        <v>2227.8208000000013</v>
      </c>
      <c r="P218" s="18" t="s">
        <v>38</v>
      </c>
      <c r="Q218" s="15" t="s">
        <v>39</v>
      </c>
    </row>
    <row r="219" spans="1:17" x14ac:dyDescent="0.75">
      <c r="A219" s="9">
        <v>46266</v>
      </c>
      <c r="B219" s="12">
        <f t="shared" si="15"/>
        <v>1882159.4296878092</v>
      </c>
      <c r="C219" s="12">
        <f t="shared" ref="C219" si="16">C207*(1+K219%)</f>
        <v>49192.529845485762</v>
      </c>
      <c r="D219" s="12">
        <f t="shared" ref="D219" si="17">D207*(1+L219%)</f>
        <v>25501.875484830765</v>
      </c>
      <c r="E219" s="12">
        <f t="shared" ref="E219" si="18">E207*(1+M219%)</f>
        <v>24573.100008128149</v>
      </c>
      <c r="F219" s="12">
        <f t="shared" ref="F219" si="19">F207*(1+N219%)</f>
        <v>24950.81529418709</v>
      </c>
      <c r="J219" s="12">
        <f>_xlfn.FORECAST.LINEAR(J218,J207:J218,J206:J217)</f>
        <v>-9.7432749410273711</v>
      </c>
      <c r="K219" s="12">
        <f>_xlfn.FORECAST.LINEAR(K218,K207:K218,K206:K217)</f>
        <v>-20.843752501466625</v>
      </c>
      <c r="L219" s="12">
        <f t="shared" ref="K219:L219" si="20">_xlfn.FORECAST.LINEAR(L218,L207:L218,L206:L217)</f>
        <v>3.3338958261475011</v>
      </c>
      <c r="M219" s="12">
        <f>_xlfn.FORECAST.LINEAR(M218,M207:M218,M206:M217)</f>
        <v>15.797309505245963</v>
      </c>
      <c r="N219" s="12">
        <f>_xlfn.FORECAST.LINEAR(N218,N207:N218,N206:N217)</f>
        <v>22.697060255747839</v>
      </c>
      <c r="O219" s="16">
        <f t="shared" si="14"/>
        <v>551.06019064367501</v>
      </c>
      <c r="P219" s="1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3C29-2189-45A1-BF21-5072D618D726}">
  <dimension ref="A1:G3"/>
  <sheetViews>
    <sheetView workbookViewId="0">
      <selection activeCell="B3" sqref="B3"/>
    </sheetView>
  </sheetViews>
  <sheetFormatPr defaultRowHeight="14.75" x14ac:dyDescent="0.75"/>
  <sheetData>
    <row r="1" spans="1:7" x14ac:dyDescent="0.75">
      <c r="A1" s="2" t="s">
        <v>13</v>
      </c>
      <c r="B1" t="s">
        <v>4</v>
      </c>
      <c r="C1" t="s">
        <v>0</v>
      </c>
      <c r="D1" t="s">
        <v>1</v>
      </c>
      <c r="E1" t="s">
        <v>2</v>
      </c>
      <c r="F1" t="s">
        <v>3</v>
      </c>
      <c r="G1" t="s">
        <v>37</v>
      </c>
    </row>
    <row r="2" spans="1:7" x14ac:dyDescent="0.75">
      <c r="A2" s="4">
        <v>46113</v>
      </c>
      <c r="B2" s="5">
        <f>LN(Sheet2!B198)</f>
        <v>9.7598481023345176</v>
      </c>
      <c r="C2">
        <f>Sheet2!E198</f>
        <v>-0.35891465999999994</v>
      </c>
      <c r="D2" s="11">
        <f>Sheet2!H198</f>
        <v>0.4496749424406794</v>
      </c>
      <c r="E2" s="11">
        <f>Sheet2!I198</f>
        <v>14.53456574198389</v>
      </c>
      <c r="F2">
        <f>Sheet2!L198</f>
        <v>1.1099999999999999</v>
      </c>
      <c r="G2" s="11">
        <f>LN(Sheet2!M198)</f>
        <v>4.484802164405334</v>
      </c>
    </row>
    <row r="3" spans="1:7" x14ac:dyDescent="0.75">
      <c r="A3" s="4">
        <v>46143</v>
      </c>
      <c r="B3" s="5">
        <f>LN(Sheet2!B199)</f>
        <v>9.7863355677252706</v>
      </c>
      <c r="C3">
        <f>Sheet2!E199</f>
        <v>-0.31000000000000005</v>
      </c>
      <c r="D3" s="11">
        <f>Sheet2!H199</f>
        <v>0.46939781890250282</v>
      </c>
      <c r="E3" s="11">
        <f>Sheet2!I199</f>
        <v>14.536409496568682</v>
      </c>
      <c r="F3">
        <f>Sheet2!L199</f>
        <v>1.62</v>
      </c>
      <c r="G3" s="11">
        <f>LN(Sheet2!M199)</f>
        <v>4.4817921855607183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data_clean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Mansur</dc:creator>
  <cp:lastModifiedBy>alfan mansur</cp:lastModifiedBy>
  <dcterms:created xsi:type="dcterms:W3CDTF">2026-05-31T03:56:26Z</dcterms:created>
  <dcterms:modified xsi:type="dcterms:W3CDTF">2026-09-30T23:15:39Z</dcterms:modified>
</cp:coreProperties>
</file>